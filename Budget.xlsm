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ckseletto/Desktop/"/>
    </mc:Choice>
  </mc:AlternateContent>
  <xr:revisionPtr revIDLastSave="0" documentId="13_ncr:1_{4F54DD5E-D530-F847-8546-D53B09F0586B}" xr6:coauthVersionLast="47" xr6:coauthVersionMax="47" xr10:uidLastSave="{00000000-0000-0000-0000-000000000000}"/>
  <bookViews>
    <workbookView xWindow="0" yWindow="0" windowWidth="28800" windowHeight="18000" activeTab="3" xr2:uid="{323CA0AA-0259-5341-9D9A-DDF426648005}"/>
  </bookViews>
  <sheets>
    <sheet name="Lists" sheetId="3" state="hidden" r:id="rId1"/>
    <sheet name="Set Up Sheet" sheetId="4" r:id="rId2"/>
    <sheet name="Transactions" sheetId="2" r:id="rId3"/>
    <sheet name="Summary" sheetId="9" r:id="rId4"/>
    <sheet name="June" sheetId="8" r:id="rId5"/>
  </sheets>
  <definedNames>
    <definedName name="Base">'Set Up Sheet'!$C$2</definedName>
    <definedName name="BaseSalary">'Set Up Sheet'!$C$2</definedName>
    <definedName name="Bills">Table2[Type]</definedName>
    <definedName name="Bills1">#REF!</definedName>
    <definedName name="Bills99">#REF!</definedName>
    <definedName name="Category">Table3[Category List]</definedName>
    <definedName name="CommitExp">Table2[]</definedName>
    <definedName name="Debts">Table7[Type]</definedName>
    <definedName name="Future">Table6[Type]</definedName>
    <definedName name="inc">'Set Up Sheet'!$C$2</definedName>
    <definedName name="income">Table11[Type]</definedName>
    <definedName name="interestRate">'Set Up Sheet'!$G$3</definedName>
    <definedName name="JuneIncome443">#REF!</definedName>
    <definedName name="JunePeriod">#REF!</definedName>
    <definedName name="NetSalary">'Set Up Sheet'!$C$5</definedName>
    <definedName name="NikePercentage">'Set Up Sheet'!$K$2</definedName>
    <definedName name="Other">Table5[Type]</definedName>
    <definedName name="rates">Table14[]</definedName>
    <definedName name="SpaceshipPercentage">'Set Up Sheet'!$K$3</definedName>
    <definedName name="StartBankBalance">'Set Up Sheet'!$G$2</definedName>
    <definedName name="TaxPaid">'Set Up Sheet'!$C$4</definedName>
    <definedName name="TaxSalary">'Set Up Sheet'!$C$3</definedName>
    <definedName name="Transactions">Table8[]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9" l="1"/>
  <c r="C10" i="9"/>
  <c r="D10" i="9" s="1"/>
  <c r="C8" i="8"/>
  <c r="I3" i="8"/>
  <c r="I16" i="8"/>
  <c r="C35" i="9" s="1"/>
  <c r="D35" i="9" s="1"/>
  <c r="I15" i="8"/>
  <c r="C34" i="9" s="1"/>
  <c r="D34" i="9" s="1"/>
  <c r="F16" i="8"/>
  <c r="C25" i="9" s="1"/>
  <c r="D25" i="9" s="1"/>
  <c r="F17" i="8"/>
  <c r="C26" i="9" s="1"/>
  <c r="D26" i="9" s="1"/>
  <c r="F18" i="8"/>
  <c r="C27" i="9" s="1"/>
  <c r="D27" i="9" s="1"/>
  <c r="F19" i="8"/>
  <c r="C28" i="9" s="1"/>
  <c r="D28" i="9" s="1"/>
  <c r="F20" i="8"/>
  <c r="C29" i="9" s="1"/>
  <c r="D29" i="9" s="1"/>
  <c r="F15" i="8"/>
  <c r="C24" i="9" s="1"/>
  <c r="D24" i="9" s="1"/>
  <c r="C16" i="8"/>
  <c r="C17" i="9" s="1"/>
  <c r="D17" i="9" s="1"/>
  <c r="C17" i="8"/>
  <c r="C18" i="9" s="1"/>
  <c r="D18" i="9" s="1"/>
  <c r="C18" i="8"/>
  <c r="C19" i="9" s="1"/>
  <c r="D19" i="9" s="1"/>
  <c r="C19" i="8"/>
  <c r="C20" i="9" s="1"/>
  <c r="D20" i="9" s="1"/>
  <c r="C20" i="8"/>
  <c r="C21" i="9" s="1"/>
  <c r="D21" i="9" s="1"/>
  <c r="C21" i="8"/>
  <c r="C22" i="9" s="1"/>
  <c r="D22" i="9" s="1"/>
  <c r="C22" i="8"/>
  <c r="C23" i="9" s="1"/>
  <c r="D23" i="9" s="1"/>
  <c r="C15" i="8"/>
  <c r="C16" i="9" s="1"/>
  <c r="D16" i="9" s="1"/>
  <c r="C7" i="8"/>
  <c r="K9" i="4"/>
  <c r="C17" i="4"/>
  <c r="D17" i="4"/>
  <c r="D24" i="4"/>
  <c r="D25" i="4" s="1"/>
  <c r="L11" i="4"/>
  <c r="D36" i="9" l="1"/>
  <c r="C36" i="9"/>
  <c r="C5" i="9" s="1"/>
  <c r="D5" i="9" s="1"/>
  <c r="C12" i="9"/>
  <c r="C3" i="9" s="1"/>
  <c r="C30" i="9"/>
  <c r="C4" i="9" s="1"/>
  <c r="D4" i="9" s="1"/>
  <c r="D30" i="9"/>
  <c r="D11" i="9"/>
  <c r="D12" i="9" s="1"/>
  <c r="I7" i="8"/>
  <c r="F21" i="8"/>
  <c r="F8" i="8" s="1"/>
  <c r="C9" i="8"/>
  <c r="C23" i="8"/>
  <c r="F7" i="8" s="1"/>
  <c r="I17" i="8"/>
  <c r="F9" i="8" s="1"/>
  <c r="C3" i="4"/>
  <c r="D3" i="9" l="1"/>
  <c r="C6" i="9"/>
  <c r="G10" i="9" s="1"/>
  <c r="D6" i="9"/>
  <c r="I8" i="8"/>
  <c r="I9" i="8" s="1"/>
  <c r="I4" i="8" s="1"/>
  <c r="F10" i="8"/>
  <c r="AB5" i="4"/>
  <c r="AB6" i="4" s="1"/>
  <c r="AB7" i="4" s="1"/>
  <c r="P11" i="4"/>
  <c r="O11" i="4"/>
  <c r="H15" i="4"/>
  <c r="G15" i="4"/>
  <c r="K24" i="4" l="1"/>
  <c r="G24" i="4"/>
  <c r="H24" i="4" s="1"/>
  <c r="C4" i="4"/>
  <c r="C5" i="4" s="1"/>
  <c r="G26" i="4"/>
  <c r="AB8" i="4"/>
  <c r="AB9" i="4" s="1"/>
  <c r="AB10" i="4" s="1"/>
  <c r="C23" i="4" l="1"/>
  <c r="C25" i="4" s="1"/>
  <c r="K23" i="4" s="1"/>
  <c r="G23" i="4" l="1"/>
  <c r="K11" i="4"/>
  <c r="H26" i="4"/>
  <c r="G25" i="4" l="1"/>
  <c r="H23" i="4"/>
  <c r="H25" i="4" l="1"/>
  <c r="H27" i="4" s="1"/>
  <c r="P23" i="4" s="1"/>
  <c r="L24" i="4"/>
  <c r="L23" i="4"/>
  <c r="G27" i="4"/>
  <c r="K25" i="4" l="1"/>
  <c r="L2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Nicholas Seletto</author>
  </authors>
  <commentList>
    <comment ref="B3" authorId="0" shapeId="0" xr:uid="{7C239B58-177B-0B4E-942A-DDE979325FAC}">
      <text>
        <r>
          <rPr>
            <sz val="10"/>
            <color rgb="FF000000"/>
            <rFont val="Tahoma"/>
            <family val="2"/>
          </rPr>
          <t>Assumption: Nike shares come out pre tax</t>
        </r>
      </text>
    </comment>
  </commentList>
</comments>
</file>

<file path=xl/sharedStrings.xml><?xml version="1.0" encoding="utf-8"?>
<sst xmlns="http://schemas.openxmlformats.org/spreadsheetml/2006/main" count="235" uniqueCount="80">
  <si>
    <t>Bills</t>
  </si>
  <si>
    <t>Future</t>
  </si>
  <si>
    <t>Other</t>
  </si>
  <si>
    <t>Date</t>
  </si>
  <si>
    <t>Category</t>
  </si>
  <si>
    <t>Amount</t>
  </si>
  <si>
    <t>Info</t>
  </si>
  <si>
    <t>Income</t>
  </si>
  <si>
    <t>Phone</t>
  </si>
  <si>
    <t>Food</t>
  </si>
  <si>
    <t>Spotify</t>
  </si>
  <si>
    <t>Petrol</t>
  </si>
  <si>
    <t>Category List</t>
  </si>
  <si>
    <t>Item</t>
  </si>
  <si>
    <t>Total</t>
  </si>
  <si>
    <t>Car Insurance</t>
  </si>
  <si>
    <t>Amazon</t>
  </si>
  <si>
    <t>Apple</t>
  </si>
  <si>
    <t>Contacts</t>
  </si>
  <si>
    <t>Birthdays</t>
  </si>
  <si>
    <t>Nandos</t>
  </si>
  <si>
    <t>Health</t>
  </si>
  <si>
    <t>Tape</t>
  </si>
  <si>
    <t>Banana Bread</t>
  </si>
  <si>
    <t>Bagel</t>
  </si>
  <si>
    <t>Popcorn</t>
  </si>
  <si>
    <t>Parking</t>
  </si>
  <si>
    <t>Paystay</t>
  </si>
  <si>
    <t>Epworth</t>
  </si>
  <si>
    <t>Miscellaneous</t>
  </si>
  <si>
    <t>Physio</t>
  </si>
  <si>
    <t>Coles</t>
  </si>
  <si>
    <t>Interest Rate</t>
  </si>
  <si>
    <t>Starting Bank Balance</t>
  </si>
  <si>
    <t>Type</t>
  </si>
  <si>
    <t>Monthly Projected</t>
  </si>
  <si>
    <t>Other Expenses</t>
  </si>
  <si>
    <t>Future/Investing</t>
  </si>
  <si>
    <t>Debts</t>
  </si>
  <si>
    <t>Monthly</t>
  </si>
  <si>
    <t>Yearly</t>
  </si>
  <si>
    <t>Projected Totals</t>
  </si>
  <si>
    <t>Expenses</t>
  </si>
  <si>
    <t>Incomes</t>
  </si>
  <si>
    <t>Tax Rates</t>
  </si>
  <si>
    <t>Rate</t>
  </si>
  <si>
    <t>Cumulative Tax</t>
  </si>
  <si>
    <t>Yearly Tax</t>
  </si>
  <si>
    <t>Salary After Tax</t>
  </si>
  <si>
    <t>Net Gain in Bank</t>
  </si>
  <si>
    <t>Yearly Projected</t>
  </si>
  <si>
    <t>Interest</t>
  </si>
  <si>
    <t>Car Registration</t>
  </si>
  <si>
    <t>Commitment Expenses (regular bills)</t>
  </si>
  <si>
    <t>Projected Income vs. Expenses</t>
  </si>
  <si>
    <t xml:space="preserve">Base Salary </t>
  </si>
  <si>
    <t>Net Income</t>
  </si>
  <si>
    <t>Taxable Salary</t>
  </si>
  <si>
    <t>Expected Bank Balance</t>
  </si>
  <si>
    <t>HECS</t>
  </si>
  <si>
    <t>Other Bills</t>
  </si>
  <si>
    <t>Other Investments</t>
  </si>
  <si>
    <t>Other Debts</t>
  </si>
  <si>
    <t>Stock Investment %</t>
  </si>
  <si>
    <t>Stocks</t>
  </si>
  <si>
    <t>Brunch</t>
  </si>
  <si>
    <t>Dinner</t>
  </si>
  <si>
    <t>Jumper</t>
  </si>
  <si>
    <t>Start Date</t>
  </si>
  <si>
    <t>End Date</t>
  </si>
  <si>
    <t xml:space="preserve"> </t>
  </si>
  <si>
    <t>Dates</t>
  </si>
  <si>
    <t>Bank</t>
  </si>
  <si>
    <t>At Start</t>
  </si>
  <si>
    <t>At End</t>
  </si>
  <si>
    <t>June</t>
  </si>
  <si>
    <t>Year to Date</t>
  </si>
  <si>
    <t>Totals</t>
  </si>
  <si>
    <t>Change in Bank</t>
  </si>
  <si>
    <t>Balance at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</si>
</sst>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0.0%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u/>
      <sz val="20"/>
      <color rgb="FF000000"/>
      <name val="Calibri"/>
      <family val="2"/>
    </font>
    <font>
      <b/>
      <u/>
      <sz val="16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D3FF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44" fontId="0" fillId="0" borderId="0" xfId="1" applyFont="1"/>
    <xf numFmtId="44" fontId="0" fillId="0" borderId="0" xfId="0" applyNumberFormat="1"/>
    <xf numFmtId="44" fontId="0" fillId="0" borderId="0" xfId="0" applyNumberFormat="1" applyFont="1"/>
    <xf numFmtId="164" fontId="0" fillId="0" borderId="0" xfId="2" applyNumberFormat="1" applyFont="1"/>
    <xf numFmtId="44" fontId="0" fillId="0" borderId="0" xfId="1" applyFont="1" applyAlignment="1">
      <alignment horizontal="center"/>
    </xf>
    <xf numFmtId="44" fontId="1" fillId="0" borderId="0" xfId="1" applyNumberFormat="1" applyFont="1"/>
    <xf numFmtId="10" fontId="0" fillId="0" borderId="0" xfId="2" applyNumberFormat="1" applyFont="1"/>
    <xf numFmtId="44" fontId="0" fillId="2" borderId="0" xfId="1" applyFont="1" applyFill="1"/>
    <xf numFmtId="44" fontId="0" fillId="2" borderId="0" xfId="0" applyNumberFormat="1" applyFill="1"/>
    <xf numFmtId="44" fontId="0" fillId="0" borderId="0" xfId="1" applyFont="1" applyFill="1"/>
    <xf numFmtId="44" fontId="0" fillId="0" borderId="0" xfId="1" applyNumberFormat="1" applyFont="1"/>
    <xf numFmtId="44" fontId="0" fillId="3" borderId="0" xfId="1" applyFont="1" applyFill="1"/>
    <xf numFmtId="10" fontId="0" fillId="3" borderId="0" xfId="1" applyNumberFormat="1" applyFont="1" applyFill="1"/>
    <xf numFmtId="44" fontId="1" fillId="0" borderId="0" xfId="0" applyNumberFormat="1" applyFont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10" fontId="0" fillId="0" borderId="0" xfId="2" applyNumberFormat="1" applyFont="1" applyFill="1"/>
    <xf numFmtId="15" fontId="0" fillId="0" borderId="0" xfId="0" applyNumberFormat="1"/>
  </cellXfs>
  <cellStyles count="3">
    <cellStyle name="Currency" xfId="1" builtinId="4"/>
    <cellStyle name="Normal" xfId="0" builtinId="0"/>
    <cellStyle name="Per cent" xfId="2" builtinId="5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20" formatCode="d\-mmm\-yy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165" formatCode="m/d/yy"/>
    </dxf>
    <dxf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ill>
        <patternFill>
          <fgColor rgb="FFFF00FF"/>
        </patternFill>
      </fill>
    </dxf>
    <dxf>
      <fill>
        <patternFill>
          <bgColor rgb="FFFF00FF"/>
        </patternFill>
      </fill>
    </dxf>
    <dxf>
      <fill>
        <patternFill>
          <bgColor rgb="FFFFD3FF"/>
        </patternFill>
      </fill>
    </dxf>
    <dxf>
      <fill>
        <patternFill>
          <bgColor rgb="FFFFB2FF"/>
        </patternFill>
      </fill>
    </dxf>
    <dxf>
      <fill>
        <patternFill>
          <bgColor rgb="FFFF8AD8"/>
        </patternFill>
      </fill>
    </dxf>
    <dxf>
      <fill>
        <patternFill>
          <bgColor rgb="FFFF8AD8"/>
        </patternFill>
      </fill>
    </dxf>
  </dxfs>
  <tableStyles count="2" defaultTableStyle="Pink" defaultPivotStyle="PivotStyleLight16">
    <tableStyle name="Pink" pivot="0" count="5" xr9:uid="{5CBD1AD9-2844-3140-B2EA-AED5278BEBE9}">
      <tableStyleElement type="headerRow" dxfId="53"/>
      <tableStyleElement type="totalRow" dxfId="52"/>
      <tableStyleElement type="firstRowStripe" dxfId="51"/>
      <tableStyleElement type="secondRowStripe" dxfId="50"/>
      <tableStyleElement type="firstColumnStripe" dxfId="49"/>
    </tableStyle>
    <tableStyle name="Table Style 1" pivot="0" count="1" xr9:uid="{F14FB986-F804-B445-B266-C581975AED0A}">
      <tableStyleElement type="wholeTable" dxfId="48"/>
    </tableStyle>
  </tableStyles>
  <colors>
    <mruColors>
      <color rgb="FFFFD3FF"/>
      <color rgb="FFFF89D8"/>
      <color rgb="FFFF8AD8"/>
      <color rgb="FFFF00FF"/>
      <color rgb="FFFFC7FF"/>
      <color rgb="FFFF87FF"/>
      <color rgb="FFFFB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Bank 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Summary!$F$10</c:f>
              <c:strCache>
                <c:ptCount val="1"/>
                <c:pt idx="0">
                  <c:v>June</c:v>
                </c:pt>
              </c:strCache>
            </c:strRef>
          </c:cat>
          <c:val>
            <c:numRef>
              <c:f>Summary!$G$10</c:f>
              <c:numCache>
                <c:formatCode>_("$"* #,##0.00_);_("$"* \(#,##0.00\);_("$"* "-"??_);_(@_)</c:formatCode>
                <c:ptCount val="1"/>
                <c:pt idx="0">
                  <c:v>102861.44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2C-AE45-BD57-10DF2E4E9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4704576"/>
        <c:axId val="1614706224"/>
      </c:lineChart>
      <c:catAx>
        <c:axId val="161470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4706224"/>
        <c:crosses val="autoZero"/>
        <c:auto val="1"/>
        <c:lblAlgn val="ctr"/>
        <c:lblOffset val="100"/>
        <c:noMultiLvlLbl val="0"/>
      </c:catAx>
      <c:valAx>
        <c:axId val="161470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470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8D4F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 Breakdown (YTD)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5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5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5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5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5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5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5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5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Summary!$B$16:$B$29</c:f>
              <c:strCache>
                <c:ptCount val="14"/>
                <c:pt idx="0">
                  <c:v>Phone</c:v>
                </c:pt>
                <c:pt idx="1">
                  <c:v>Petrol</c:v>
                </c:pt>
                <c:pt idx="2">
                  <c:v>Amazon</c:v>
                </c:pt>
                <c:pt idx="3">
                  <c:v>Spotify</c:v>
                </c:pt>
                <c:pt idx="4">
                  <c:v>Apple</c:v>
                </c:pt>
                <c:pt idx="5">
                  <c:v>Car Insurance</c:v>
                </c:pt>
                <c:pt idx="6">
                  <c:v>Car Registration</c:v>
                </c:pt>
                <c:pt idx="7">
                  <c:v>Other Bills</c:v>
                </c:pt>
                <c:pt idx="8">
                  <c:v>Food</c:v>
                </c:pt>
                <c:pt idx="9">
                  <c:v>Contacts</c:v>
                </c:pt>
                <c:pt idx="10">
                  <c:v>Birthdays</c:v>
                </c:pt>
                <c:pt idx="11">
                  <c:v>Health</c:v>
                </c:pt>
                <c:pt idx="12">
                  <c:v>Parking</c:v>
                </c:pt>
                <c:pt idx="13">
                  <c:v>Other Expenses</c:v>
                </c:pt>
              </c:strCache>
            </c:strRef>
          </c:cat>
          <c:val>
            <c:numRef>
              <c:f>Summary!$D$16:$D$29</c:f>
              <c:numCache>
                <c:formatCode>_("$"* #,##0.00_);_("$"* \(#,##0.00\);_("$"* "-"??_);_(@_)</c:formatCode>
                <c:ptCount val="14"/>
                <c:pt idx="0">
                  <c:v>0</c:v>
                </c:pt>
                <c:pt idx="1">
                  <c:v>43</c:v>
                </c:pt>
                <c:pt idx="2">
                  <c:v>7</c:v>
                </c:pt>
                <c:pt idx="3">
                  <c:v>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309.5</c:v>
                </c:pt>
                <c:pt idx="9">
                  <c:v>0</c:v>
                </c:pt>
                <c:pt idx="10">
                  <c:v>90</c:v>
                </c:pt>
                <c:pt idx="11">
                  <c:v>116</c:v>
                </c:pt>
                <c:pt idx="12">
                  <c:v>23</c:v>
                </c:pt>
                <c:pt idx="13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DC-BC49-BB7B-50496C8A2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8D4F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vs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June!$H$7:$H$8</c:f>
              <c:strCache>
                <c:ptCount val="2"/>
                <c:pt idx="0">
                  <c:v>Income</c:v>
                </c:pt>
                <c:pt idx="1">
                  <c:v>Expenses</c:v>
                </c:pt>
              </c:strCache>
            </c:strRef>
          </c:cat>
          <c:val>
            <c:numRef>
              <c:f>June!$I$7:$I$8</c:f>
              <c:numCache>
                <c:formatCode>_("$"* #,##0.00_);_("$"* \(#,##0.00\);_("$"* "-"??_);_(@_)</c:formatCode>
                <c:ptCount val="2"/>
                <c:pt idx="0">
                  <c:v>3943.9375</c:v>
                </c:pt>
                <c:pt idx="1">
                  <c:v>-682.5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44-BA46-A3B9-B1FC9E5E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8D4F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Bills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shade val="4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>
                  <a:shade val="61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5">
                  <a:shade val="9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>
                  <a:tint val="9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5">
                  <a:tint val="6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5">
                  <a:tint val="4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June!$B$15:$B$22</c:f>
              <c:strCache>
                <c:ptCount val="8"/>
                <c:pt idx="0">
                  <c:v>Phone</c:v>
                </c:pt>
                <c:pt idx="1">
                  <c:v>Petrol</c:v>
                </c:pt>
                <c:pt idx="2">
                  <c:v>Amazon</c:v>
                </c:pt>
                <c:pt idx="3">
                  <c:v>Spotify</c:v>
                </c:pt>
                <c:pt idx="4">
                  <c:v>Apple</c:v>
                </c:pt>
                <c:pt idx="5">
                  <c:v>Car Insurance</c:v>
                </c:pt>
                <c:pt idx="6">
                  <c:v>Car Registration</c:v>
                </c:pt>
                <c:pt idx="7">
                  <c:v>Other Bills</c:v>
                </c:pt>
              </c:strCache>
            </c:strRef>
          </c:cat>
          <c:val>
            <c:numRef>
              <c:f>June!$C$15:$C$22</c:f>
              <c:numCache>
                <c:formatCode>_("$"* #,##0.00_);_("$"* \(#,##0.00\);_("$"* "-"??_);_(@_)</c:formatCode>
                <c:ptCount val="8"/>
                <c:pt idx="0">
                  <c:v>0</c:v>
                </c:pt>
                <c:pt idx="1">
                  <c:v>43</c:v>
                </c:pt>
                <c:pt idx="2">
                  <c:v>7</c:v>
                </c:pt>
                <c:pt idx="3">
                  <c:v>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23-7D41-935E-B4736E2A3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8D4F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June!$E$15:$E$20</c:f>
              <c:strCache>
                <c:ptCount val="6"/>
                <c:pt idx="0">
                  <c:v>Food</c:v>
                </c:pt>
                <c:pt idx="1">
                  <c:v>Contacts</c:v>
                </c:pt>
                <c:pt idx="2">
                  <c:v>Birthdays</c:v>
                </c:pt>
                <c:pt idx="3">
                  <c:v>Health</c:v>
                </c:pt>
                <c:pt idx="4">
                  <c:v>Parking</c:v>
                </c:pt>
                <c:pt idx="5">
                  <c:v>Other Expenses</c:v>
                </c:pt>
              </c:strCache>
            </c:strRef>
          </c:cat>
          <c:val>
            <c:numRef>
              <c:f>June!$F$15:$F$20</c:f>
              <c:numCache>
                <c:formatCode>_("$"* #,##0.00_);_("$"* \(#,##0.00\);_("$"* "-"??_);_(@_)</c:formatCode>
                <c:ptCount val="6"/>
                <c:pt idx="0">
                  <c:v>309.5</c:v>
                </c:pt>
                <c:pt idx="1">
                  <c:v>0</c:v>
                </c:pt>
                <c:pt idx="2">
                  <c:v>90</c:v>
                </c:pt>
                <c:pt idx="3">
                  <c:v>116</c:v>
                </c:pt>
                <c:pt idx="4">
                  <c:v>23</c:v>
                </c:pt>
                <c:pt idx="5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37-E04F-A274-A68E1D0A6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8D4F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203200</xdr:rowOff>
        </xdr:from>
        <xdr:to>
          <xdr:col>16</xdr:col>
          <xdr:colOff>12700</xdr:colOff>
          <xdr:row>4</xdr:row>
          <xdr:rowOff>12700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1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2000" b="1" i="0" u="sng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 Up First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</xdr:row>
          <xdr:rowOff>12700</xdr:rowOff>
        </xdr:from>
        <xdr:to>
          <xdr:col>7</xdr:col>
          <xdr:colOff>635000</xdr:colOff>
          <xdr:row>4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EE91D702-2667-C54A-A6C7-D1F9276476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sng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787400</xdr:colOff>
      <xdr:row>11</xdr:row>
      <xdr:rowOff>0</xdr:rowOff>
    </xdr:from>
    <xdr:to>
      <xdr:col>9</xdr:col>
      <xdr:colOff>419100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DBD1E9-5281-344E-80F2-2CB79EB2BD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787400</xdr:colOff>
      <xdr:row>25</xdr:row>
      <xdr:rowOff>0</xdr:rowOff>
    </xdr:from>
    <xdr:to>
      <xdr:col>9</xdr:col>
      <xdr:colOff>419100</xdr:colOff>
      <xdr:row>38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58E85E-60A9-EA44-B864-A3A7219839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12700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15B1BB16-54F8-D64D-ABA6-45E4DE759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sng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Add Next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698500</xdr:colOff>
      <xdr:row>1</xdr:row>
      <xdr:rowOff>0</xdr:rowOff>
    </xdr:from>
    <xdr:to>
      <xdr:col>14</xdr:col>
      <xdr:colOff>698500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8F61A6-CF3F-A344-81F9-70C8770315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698500</xdr:colOff>
      <xdr:row>15</xdr:row>
      <xdr:rowOff>12700</xdr:rowOff>
    </xdr:from>
    <xdr:to>
      <xdr:col>14</xdr:col>
      <xdr:colOff>698500</xdr:colOff>
      <xdr:row>28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526D39-9A5E-AF4E-A513-FB8D998B0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698500</xdr:colOff>
      <xdr:row>29</xdr:row>
      <xdr:rowOff>12700</xdr:rowOff>
    </xdr:from>
    <xdr:to>
      <xdr:col>14</xdr:col>
      <xdr:colOff>698500</xdr:colOff>
      <xdr:row>42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2E20F67-4B38-E04B-94EA-6D3E0C2AC1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93EFDF-80F7-AF4B-BAD4-D7E15834DF16}" name="Table3" displayName="Table3" ref="B2:B6" totalsRowShown="0">
  <autoFilter ref="B2:B6" xr:uid="{CA7590C1-30AC-874F-B2A1-FE93826C3893}"/>
  <tableColumns count="1">
    <tableColumn id="1" xr3:uid="{22D85D40-CC03-4946-8B41-156535E2CB70}" name="Category List"/>
  </tableColumns>
  <tableStyleInfo name="Pink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3AC462-D7B4-FA42-A450-2D4031F30C91}" name="Table2" displayName="Table2" ref="B8:D17" totalsRowCount="1">
  <autoFilter ref="B8:D16" xr:uid="{BB5AE236-1DAD-6D46-ABD2-D26F39B65083}"/>
  <tableColumns count="3">
    <tableColumn id="1" xr3:uid="{53BB21F9-B05C-EC43-A1C8-B973AF022527}" name="Type" totalsRowLabel="Total"/>
    <tableColumn id="2" xr3:uid="{3540FF4C-347B-F547-81A1-593E72CDBA0F}" name="Monthly Projected" totalsRowFunction="sum" dataDxfId="47" totalsRowDxfId="46" dataCellStyle="Currency"/>
    <tableColumn id="3" xr3:uid="{D029123C-8D47-5F4B-80FA-242608F63BB4}" name="Yearly Projected" totalsRowFunction="sum" dataDxfId="45" totalsRowDxfId="44" dataCellStyle="Currency"/>
  </tableColumns>
  <tableStyleInfo name="Pink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9814B9-17C7-C145-8515-2E60ACA77116}" name="Table5" displayName="Table5" ref="F8:H15" totalsRowCount="1">
  <autoFilter ref="F8:H14" xr:uid="{67C15936-DAC5-9B40-BEB1-8C2D24D5BAB4}"/>
  <tableColumns count="3">
    <tableColumn id="1" xr3:uid="{9FDB301D-01BB-7743-BF97-C74AC6EB5FD4}" name="Type" totalsRowLabel="Total"/>
    <tableColumn id="2" xr3:uid="{95CA2998-B0C4-814B-90E0-99F5A4B59B87}" name="Monthly Projected" totalsRowFunction="sum" totalsRowDxfId="37" dataCellStyle="Currency"/>
    <tableColumn id="3" xr3:uid="{11E7082D-CF41-BB4C-9FC6-5EB0F5F2D5F3}" name="Yearly Projected" totalsRowFunction="sum" totalsRowDxfId="36" dataCellStyle="Currency"/>
  </tableColumns>
  <tableStyleInfo name="Pink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0CC293-17B4-D245-A907-FCFD152B9AA2}" name="Table6" displayName="Table6" ref="J8:L11" totalsRowCount="1">
  <autoFilter ref="J8:L10" xr:uid="{009CB874-9A23-0E4D-82B5-207654671EF2}"/>
  <tableColumns count="3">
    <tableColumn id="1" xr3:uid="{269F4919-F0FF-4C4A-BB55-3BBEF9C33E95}" name="Type" totalsRowLabel="Total"/>
    <tableColumn id="2" xr3:uid="{17131674-D78F-A748-992E-66A35712C23B}" name="Monthly Projected" totalsRowFunction="sum" totalsRowDxfId="31" dataCellStyle="Currency"/>
    <tableColumn id="3" xr3:uid="{61D3A760-2581-C841-AA76-368C0BA3988D}" name="Yearly Projected" totalsRowFunction="sum" totalsRowDxfId="30" dataCellStyle="Currency"/>
  </tableColumns>
  <tableStyleInfo name="Pink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B0DBEF-75C3-2840-AAD8-B86A2F20D98E}" name="Table7" displayName="Table7" ref="N8:P11" totalsRowCount="1">
  <autoFilter ref="N8:P10" xr:uid="{21DA3880-144F-7E40-9B67-416CAED03350}"/>
  <tableColumns count="3">
    <tableColumn id="1" xr3:uid="{4EEE742F-C558-4D42-B9C7-659405D8BE04}" name="Type" totalsRowLabel="Total"/>
    <tableColumn id="2" xr3:uid="{99FEAF5C-2EDC-FC4F-BF3D-7CD5319A7B77}" name="Monthly Projected" totalsRowFunction="sum" totalsRowDxfId="29" dataCellStyle="Currency" totalsRowCellStyle="Currency"/>
    <tableColumn id="3" xr3:uid="{75398037-E4F6-8240-89A0-D90DDEFAFDEA}" name="Yearly Projected" totalsRowFunction="sum" totalsRowDxfId="28" dataCellStyle="Currency" totalsRowCellStyle="Currency"/>
  </tableColumns>
  <tableStyleInfo name="Pink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0149B7B-68E1-9D4D-9286-34CE96740920}" name="Table9" displayName="Table9" ref="F22:H27" totalsRowCount="1">
  <autoFilter ref="F22:H26" xr:uid="{BA4358CE-E020-9645-B340-422EF611104F}"/>
  <tableColumns count="3">
    <tableColumn id="1" xr3:uid="{71A1A951-C00B-A343-9EC9-8630FB6394B6}" name="Type" totalsRowLabel="Net Gain in Bank"/>
    <tableColumn id="2" xr3:uid="{E63FDBC7-8861-4649-AC4B-3550B53F4A58}" name="Monthly" totalsRowFunction="sum" dataDxfId="43" totalsRowDxfId="33"/>
    <tableColumn id="3" xr3:uid="{56D0B750-D792-CA4E-8CF0-B547870AB4C9}" name="Yearly" totalsRowFunction="sum" dataDxfId="42" totalsRowDxfId="32"/>
  </tableColumns>
  <tableStyleInfo name="Pink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7272F6-0091-794A-B516-1C15688ABFCC}" name="Table11" displayName="Table11" ref="B22:D25" totalsRowCount="1">
  <autoFilter ref="B22:D24" xr:uid="{20FAE355-BCA6-0E48-81D3-1EFEC18950F3}"/>
  <tableColumns count="3">
    <tableColumn id="1" xr3:uid="{CB72F962-94E7-354A-AAA2-6589785D45D3}" name="Type" totalsRowLabel="Total"/>
    <tableColumn id="2" xr3:uid="{F3587AA4-CC78-2141-9077-D8A2B7E86D35}" name="Monthly Projected" totalsRowFunction="sum" totalsRowDxfId="41" dataCellStyle="Currency">
      <calculatedColumnFormula>(C2-C4)/12</calculatedColumnFormula>
    </tableColumn>
    <tableColumn id="3" xr3:uid="{6928CA1F-23D6-D748-B74D-06352256E13D}" name="Yearly Projected" totalsRowFunction="sum" totalsRowDxfId="40" dataCellStyle="Currency"/>
  </tableColumns>
  <tableStyleInfo name="Pink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368DB89-AA59-CE42-8ACC-131580EE79DF}" name="Table14" displayName="Table14" ref="Z4:AB10" totalsRowShown="0">
  <autoFilter ref="Z4:AB10" xr:uid="{A8D97DB1-F314-BD4E-BE51-F4A89E948ABA}"/>
  <tableColumns count="3">
    <tableColumn id="1" xr3:uid="{868C1C94-417A-A149-BA0F-CD1CE5766AF2}" name="Income" dataCellStyle="Currency"/>
    <tableColumn id="2" xr3:uid="{458E7B69-A1F1-2D4D-BEEC-A443BB83692C}" name="Rate" dataDxfId="39" dataCellStyle="Per cent"/>
    <tableColumn id="3" xr3:uid="{5FB28E6F-5F40-944A-8360-3B03A43DDDFB}" name="Cumulative Tax" dataCellStyle="Currency"/>
  </tableColumns>
  <tableStyleInfo name="Pink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E6D2C4-7FB8-AC4A-AC5A-0AEA5B9993D8}" name="Table15" displayName="Table15" ref="J22:L25" totalsRowCount="1">
  <autoFilter ref="J22:L24" xr:uid="{3F1AFD6D-8AD9-634F-9F67-7364CBE441ED}"/>
  <tableColumns count="3">
    <tableColumn id="1" xr3:uid="{69C0C231-26D3-C04B-B9CF-C09CF65DBE5E}" name="Type" totalsRowLabel="Total"/>
    <tableColumn id="2" xr3:uid="{772C6CFF-F32D-4C43-A203-15BE1A299CC4}" name="Monthly" totalsRowFunction="sum" totalsRowDxfId="35" dataCellStyle="Currency" totalsRowCellStyle="Currency"/>
    <tableColumn id="3" xr3:uid="{47E169AB-CAF4-FD46-A4A1-879C6EAFB415}" name="Yearly" totalsRowFunction="sum" totalsRowDxfId="34" dataCellStyle="Currency" totalsRowCellStyle="Currency">
      <calculatedColumnFormula>Table15[[#This Row],[Monthly]]*12</calculatedColumnFormula>
    </tableColumn>
  </tableColumns>
  <tableStyleInfo name="Pink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D8BBC6-2E0A-2141-8CBE-0E2D6DE618DB}" name="Table8" displayName="Table8" ref="N2:R26" insertRowShift="1" totalsRowShown="0">
  <autoFilter ref="N2:R26" xr:uid="{7DF65E15-4E49-BC4C-8EFC-E2FD8663460C}"/>
  <tableColumns count="5">
    <tableColumn id="1" xr3:uid="{7869D336-5F14-E64A-9993-0968C9641B9F}" name="Date" dataDxfId="38"/>
    <tableColumn id="2" xr3:uid="{7A6F1432-6E8D-224B-BA88-092424F11BD4}" name="Category"/>
    <tableColumn id="3" xr3:uid="{48F291A2-5578-F747-9494-66D59F1CE161}" name="Item"/>
    <tableColumn id="4" xr3:uid="{FCE0C98E-ACA6-1348-BF9D-428556B91542}" name="Amount" dataCellStyle="Currency"/>
    <tableColumn id="5" xr3:uid="{F2A836F8-21DD-5F4E-9C92-F809FEE22368}" name="Info"/>
  </tableColumns>
  <tableStyleInfo name="Pink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8F7A9B8-D184-3641-8832-8065CBAE6175}" name="SummaryIncome" displayName="SummaryIncome" ref="B9:D12" totalsRowCount="1">
  <autoFilter ref="B9:D11" xr:uid="{08F7A9B8-D184-3641-8832-8065CBAE6175}"/>
  <tableColumns count="3">
    <tableColumn id="1" xr3:uid="{034B2312-CCF7-AE42-B595-3456DA4C9797}" name="Income" totalsRowLabel="Total"/>
    <tableColumn id="2" xr3:uid="{482054E2-11FD-7643-B371-FA0A17BEF6F3}" name="June" totalsRowFunction="sum" dataDxfId="13">
      <calculatedColumnFormula>June!C7</calculatedColumnFormula>
    </tableColumn>
    <tableColumn id="3" xr3:uid="{AA5AF01E-A3CB-7D4B-928D-4BE59910459A}" name="Year to Date" totalsRowFunction="sum" dataDxfId="12">
      <calculatedColumnFormula>SUM(C10:C10)</calculatedColumnFormula>
    </tableColumn>
  </tableColumns>
  <tableStyleInfo name="Pink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A67B5EC9-9E5F-164C-B094-2C2FEEBE0155}" name="SummaryExpenses" displayName="SummaryExpenses" ref="B15:D30" totalsRowCount="1">
  <autoFilter ref="B15:D29" xr:uid="{A67B5EC9-9E5F-164C-B094-2C2FEEBE0155}"/>
  <tableColumns count="3">
    <tableColumn id="1" xr3:uid="{D55B4AFB-DB3C-C34F-ABB7-F0299887F2C8}" name="Expenses" totalsRowLabel="Total"/>
    <tableColumn id="2" xr3:uid="{7F20BDDF-7BC0-8547-B564-0BC6DAD49D1C}" name="June" totalsRowFunction="sum" dataDxfId="11">
      <calculatedColumnFormula>June!F7</calculatedColumnFormula>
    </tableColumn>
    <tableColumn id="3" xr3:uid="{FB55EDDE-6F2A-BA46-AB53-D01F02871161}" name="Year to Date" totalsRowFunction="sum" dataDxfId="10">
      <calculatedColumnFormula>SUM(C16:C16)</calculatedColumnFormula>
    </tableColumn>
  </tableColumns>
  <tableStyleInfo name="Pink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6E432320-96BA-AF4A-9719-30718AAC6577}" name="SummaryFuture" displayName="SummaryFuture" ref="B33:D36" totalsRowCount="1">
  <autoFilter ref="B33:D35" xr:uid="{6E432320-96BA-AF4A-9719-30718AAC6577}"/>
  <tableColumns count="3">
    <tableColumn id="1" xr3:uid="{9761CC32-C832-184F-86E2-787C1AC5F95C}" name="Future" totalsRowLabel="Total"/>
    <tableColumn id="2" xr3:uid="{1B2127DD-76B7-914C-9FCA-DF94E44B1ED5}" name="June" totalsRowFunction="sum" dataDxfId="9">
      <calculatedColumnFormula>June!I15</calculatedColumnFormula>
    </tableColumn>
    <tableColumn id="3" xr3:uid="{9B7326DD-BBFB-FC4F-8A51-3E2FBBA6F27E}" name="Year to Date" totalsRowFunction="sum" dataDxfId="8">
      <calculatedColumnFormula>SUM(C34:C34)</calculatedColumnFormula>
    </tableColumn>
  </tableColumns>
  <tableStyleInfo name="Pink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9210ED7-EE6A-9444-BC31-0EE2ABEE0870}" name="SummaryTotal" displayName="SummaryTotal" ref="B2:D6" totalsRowCount="1">
  <autoFilter ref="B2:D5" xr:uid="{C9210ED7-EE6A-9444-BC31-0EE2ABEE0870}"/>
  <tableColumns count="3">
    <tableColumn id="1" xr3:uid="{4F14AD3B-3C6D-BE47-BC1D-A3855A70E454}" name="Totals" totalsRowLabel="Change in Bank"/>
    <tableColumn id="2" xr3:uid="{308BFDFA-C66F-6344-91A0-D4381426ECE3}" name="June" totalsRowFunction="sum" dataDxfId="7" totalsRowDxfId="2" dataCellStyle="Currency"/>
    <tableColumn id="3" xr3:uid="{EAA5B7AB-17E5-7946-907D-D3DA5F0B155F}" name="Year to Date" totalsRowFunction="sum" dataDxfId="6" totalsRowDxfId="1">
      <calculatedColumnFormula>SUM(C3:C3)</calculatedColumnFormula>
    </tableColumn>
  </tableColumns>
  <tableStyleInfo name="Pink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93FD3F0-B2C0-0F4D-9CD2-B2836ECD2414}" name="SummaryBank" displayName="SummaryBank" ref="F9:G10" totalsRowShown="0">
  <autoFilter ref="F9:G10" xr:uid="{493FD3F0-B2C0-0F4D-9CD2-B2836ECD2414}"/>
  <tableColumns count="2">
    <tableColumn id="1" xr3:uid="{E7ADC2E4-5606-164B-8067-9163B1E9936C}" name="Bank"/>
    <tableColumn id="2" xr3:uid="{6FF17282-3CAF-D04F-8D8D-0FD073DB7575}" name="Balance at End" dataDxfId="0" dataCellStyle="Currency">
      <calculatedColumnFormula>StartBankBalance+SummaryTotal[[#Totals],[June]]</calculatedColumnFormula>
    </tableColumn>
  </tableColumns>
  <tableStyleInfo name="Pink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5AFF930-0AC8-1A48-8746-D843566B7442}" name="JuneBills" displayName="JuneBills" ref="B14:C23" totalsRowCount="1">
  <autoFilter ref="B14:C22" xr:uid="{B5AFF930-0AC8-1A48-8746-D843566B7442}"/>
  <tableColumns count="2">
    <tableColumn id="1" xr3:uid="{F2CE7487-337A-804B-87BB-B0DD2E27FFC9}" name="Bills" totalsRowLabel="Total"/>
    <tableColumn id="2" xr3:uid="{218AEE1C-2067-BF49-9690-BB08678B2A3E}" name="Total" totalsRowFunction="sum" dataDxfId="27" totalsRowDxfId="26">
      <calculatedColumnFormula>SUMIFS(Table8[Amount],Table8[Item],"="&amp;JuneBills[[#This Row],[Bills]],Table8[Category],"="&amp;JuneBills[[#Headers],[Bills]],Table8[Date],"&lt;="&amp;$C$4, Table8[Date],"&gt;=" &amp;$C$3)</calculatedColumnFormula>
    </tableColumn>
  </tableColumns>
  <tableStyleInfo name="Pink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404E10E-2114-864A-8C1E-FBAC96F1B145}" name="JuneOther" displayName="JuneOther" ref="E14:F21" totalsRowCount="1">
  <autoFilter ref="E14:F20" xr:uid="{D404E10E-2114-864A-8C1E-FBAC96F1B145}"/>
  <tableColumns count="2">
    <tableColumn id="1" xr3:uid="{15AF9776-020E-C541-96BC-0165B0C3BB48}" name="Other" totalsRowLabel="Total"/>
    <tableColumn id="2" xr3:uid="{D4C3D586-707E-6942-AD2F-449F3E8E0F5A}" name="Total" totalsRowFunction="sum" dataDxfId="25" totalsRowDxfId="24">
      <calculatedColumnFormula>SUMIFS(Table8[Amount],Table8[Item],"="&amp;JuneOther[[#This Row],[Other]],Table8[Category],"="&amp;JuneOther[[#Headers],[Other]],Table8[Date],"&lt;="&amp;$C$4, Table8[Date],"&gt;=" &amp;$C$3)</calculatedColumnFormula>
    </tableColumn>
  </tableColumns>
  <tableStyleInfo name="Pink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6571D81-AFEE-8C42-9A72-ACA671BA374B}" name="JuneFuture" displayName="JuneFuture" ref="H14:I17" totalsRowCount="1">
  <autoFilter ref="H14:I16" xr:uid="{B6571D81-AFEE-8C42-9A72-ACA671BA374B}"/>
  <tableColumns count="2">
    <tableColumn id="1" xr3:uid="{9D20D4FA-8940-8248-B9D9-84CEF3A1AC17}" name="Future" totalsRowLabel="Total"/>
    <tableColumn id="2" xr3:uid="{0E5E4421-E9B8-E54B-8850-04BB81D2B148}" name="Total" totalsRowFunction="sum" dataDxfId="23" totalsRowDxfId="22">
      <calculatedColumnFormula>SUMIFS(Table8[Amount],Table8[Item],"="&amp;JuneFuture[[#This Row],[Future]],Table8[Category],"="&amp;JuneFuture[[#Headers],[Future]],Table8[Date],"&lt;="&amp;$C$4, Table8[Date],"&gt;=" &amp;$C$3)</calculatedColumnFormula>
    </tableColumn>
  </tableColumns>
  <tableStyleInfo name="Pink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5A2D1CC-C1E1-BB4D-8353-A9626DF949D5}" name="JuneDates" displayName="JuneDates" ref="B2:C4" totalsRowShown="0">
  <autoFilter ref="B2:C4" xr:uid="{65A2D1CC-C1E1-BB4D-8353-A9626DF949D5}"/>
  <tableColumns count="2">
    <tableColumn id="1" xr3:uid="{CC07C53B-1C76-FB4C-BD3B-736C9272A6D0}" name=" "/>
    <tableColumn id="2" xr3:uid="{C8180025-4E72-EE42-8CD8-620437BD8C9B}" name="Dates" dataDxfId="21"/>
  </tableColumns>
  <tableStyleInfo name="Pink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7C0667D-439C-1746-BA05-1B7A786D6659}" name="JuneIncome" displayName="JuneIncome" ref="B6:C9" totalsRowCount="1">
  <autoFilter ref="B6:C8" xr:uid="{C7C0667D-439C-1746-BA05-1B7A786D6659}"/>
  <tableColumns count="2">
    <tableColumn id="1" xr3:uid="{54E7E784-1B3D-BF49-BB03-0EB983D59A44}" name="Income" totalsRowLabel="Total"/>
    <tableColumn id="2" xr3:uid="{586C1292-44D5-664B-8234-8475D6B51ABF}" name="Total" totalsRowFunction="sum" dataDxfId="20" totalsRowDxfId="15"/>
  </tableColumns>
  <tableStyleInfo name="Pink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746B1C3-3964-634B-99E6-2CB70B61DD7E}" name="JuneExpenses" displayName="JuneExpenses" ref="E6:F10" totalsRowCount="1">
  <autoFilter ref="E6:F9" xr:uid="{8746B1C3-3964-634B-99E6-2CB70B61DD7E}"/>
  <tableColumns count="2">
    <tableColumn id="1" xr3:uid="{965F8D59-7931-7B4F-8A82-41B6EC3947E9}" name="Expenses" totalsRowLabel="Total"/>
    <tableColumn id="2" xr3:uid="{98471B9A-98F4-9E4A-BD17-48535EE936ED}" name="Total" totalsRowFunction="sum" dataDxfId="19" totalsRowDxfId="18"/>
  </tableColumns>
  <tableStyleInfo name="Pink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04B39C9-9FBF-8C44-9D6E-2CEC19264A66}" name="JuneTotal" displayName="JuneTotal" ref="H6:I9" totalsRowCount="1">
  <autoFilter ref="H6:I8" xr:uid="{204B39C9-9FBF-8C44-9D6E-2CEC19264A66}"/>
  <tableColumns count="2">
    <tableColumn id="1" xr3:uid="{174E977C-DF18-C547-897E-8E067AF18668}" name="Total" totalsRowLabel="Total"/>
    <tableColumn id="2" xr3:uid="{56F095A8-F88D-5943-9734-54C1D48482D9}" name=" " totalsRowFunction="sum" dataDxfId="17" totalsRowDxfId="16">
      <calculatedColumnFormula>-SUM(F6:F7)</calculatedColumnFormula>
    </tableColumn>
  </tableColumns>
  <tableStyleInfo name="Pink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732CC7B-9E09-0040-AC2C-45CFEEAA6F28}" name="JuneBank" displayName="JuneBank" ref="H2:I4" totalsRowShown="0">
  <autoFilter ref="H2:I4" xr:uid="{8732CC7B-9E09-0040-AC2C-45CFEEAA6F28}"/>
  <tableColumns count="2">
    <tableColumn id="1" xr3:uid="{5112A881-C637-9C4B-9A7E-80B67DC83A41}" name="Bank"/>
    <tableColumn id="2" xr3:uid="{976746C8-BEE1-7849-B5F0-B4D4DAC54EAF}" name=" " dataDxfId="14">
      <calculatedColumnFormula>StartBankBalance+JuneTotal[[#Totals],[ ]]-F8</calculatedColumnFormula>
    </tableColumn>
  </tableColumns>
  <tableStyleInfo name="Pink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5.xml"/><Relationship Id="rId12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ctrlProp" Target="../ctrlProps/ctrlProp2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ctrlProp" Target="../ctrlProps/ctrlProp3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18.xml"/><Relationship Id="rId11" Type="http://schemas.openxmlformats.org/officeDocument/2006/relationships/table" Target="../tables/table23.xml"/><Relationship Id="rId5" Type="http://schemas.openxmlformats.org/officeDocument/2006/relationships/table" Target="../tables/table17.xml"/><Relationship Id="rId10" Type="http://schemas.openxmlformats.org/officeDocument/2006/relationships/table" Target="../tables/table22.xml"/><Relationship Id="rId4" Type="http://schemas.openxmlformats.org/officeDocument/2006/relationships/table" Target="../tables/table16.xml"/><Relationship Id="rId9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D884D-618A-E34A-BA74-3CAC5EFE013F}">
  <sheetPr codeName="Sheet4"/>
  <dimension ref="B2:B6"/>
  <sheetViews>
    <sheetView zoomScale="125" workbookViewId="0">
      <selection activeCell="H24" sqref="H24"/>
    </sheetView>
  </sheetViews>
  <sheetFormatPr baseColWidth="10" defaultRowHeight="16" x14ac:dyDescent="0.2"/>
  <cols>
    <col min="2" max="2" width="13.33203125" customWidth="1"/>
    <col min="3" max="3" width="3.33203125" customWidth="1"/>
    <col min="5" max="5" width="3.1640625" customWidth="1"/>
    <col min="7" max="7" width="2.6640625" customWidth="1"/>
    <col min="8" max="8" width="11.5" customWidth="1"/>
    <col min="9" max="9" width="3.83203125" customWidth="1"/>
  </cols>
  <sheetData>
    <row r="2" spans="2:2" x14ac:dyDescent="0.2">
      <c r="B2" t="s">
        <v>12</v>
      </c>
    </row>
    <row r="3" spans="2:2" x14ac:dyDescent="0.2">
      <c r="B3" t="s">
        <v>0</v>
      </c>
    </row>
    <row r="4" spans="2:2" x14ac:dyDescent="0.2">
      <c r="B4" t="s">
        <v>1</v>
      </c>
    </row>
    <row r="5" spans="2:2" x14ac:dyDescent="0.2">
      <c r="B5" t="s">
        <v>2</v>
      </c>
    </row>
    <row r="6" spans="2:2" x14ac:dyDescent="0.2">
      <c r="B6" t="s">
        <v>38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03682-03B4-C240-9201-B4DDE3C4FDBA}">
  <sheetPr codeName="Sheet3"/>
  <dimension ref="B2:AD27"/>
  <sheetViews>
    <sheetView zoomScale="75" zoomScaleNormal="100" workbookViewId="0">
      <selection activeCell="G37" sqref="G37"/>
    </sheetView>
  </sheetViews>
  <sheetFormatPr baseColWidth="10" defaultRowHeight="16" x14ac:dyDescent="0.2"/>
  <cols>
    <col min="1" max="1" width="3.33203125" customWidth="1"/>
    <col min="2" max="2" width="15.83203125" bestFit="1" customWidth="1"/>
    <col min="3" max="3" width="18.5" bestFit="1" customWidth="1"/>
    <col min="4" max="4" width="16.83203125" bestFit="1" customWidth="1"/>
    <col min="5" max="5" width="3.33203125" customWidth="1"/>
    <col min="6" max="6" width="19.33203125" bestFit="1" customWidth="1"/>
    <col min="7" max="7" width="18.5" bestFit="1" customWidth="1"/>
    <col min="8" max="8" width="16.83203125" bestFit="1" customWidth="1"/>
    <col min="9" max="9" width="3.33203125" customWidth="1"/>
    <col min="10" max="10" width="21.1640625" bestFit="1" customWidth="1"/>
    <col min="11" max="11" width="18.5" bestFit="1" customWidth="1"/>
    <col min="12" max="12" width="16.83203125" bestFit="1" customWidth="1"/>
    <col min="13" max="13" width="3.33203125" customWidth="1"/>
    <col min="14" max="14" width="19" bestFit="1" customWidth="1"/>
    <col min="15" max="15" width="18.5" bestFit="1" customWidth="1"/>
    <col min="16" max="16" width="16.83203125" bestFit="1" customWidth="1"/>
    <col min="17" max="25" width="3.33203125" customWidth="1"/>
    <col min="26" max="26" width="14.5" hidden="1" customWidth="1"/>
    <col min="27" max="27" width="0" hidden="1" customWidth="1"/>
    <col min="28" max="28" width="16.1640625" hidden="1" customWidth="1"/>
  </cols>
  <sheetData>
    <row r="2" spans="2:30" x14ac:dyDescent="0.2">
      <c r="B2" t="s">
        <v>55</v>
      </c>
      <c r="C2" s="13">
        <v>55000</v>
      </c>
      <c r="F2" t="s">
        <v>33</v>
      </c>
      <c r="G2" s="13">
        <v>100000</v>
      </c>
      <c r="J2" t="s">
        <v>63</v>
      </c>
      <c r="K2" s="14">
        <v>0.03</v>
      </c>
      <c r="O2" s="11"/>
    </row>
    <row r="3" spans="2:30" x14ac:dyDescent="0.2">
      <c r="B3" t="s">
        <v>57</v>
      </c>
      <c r="C3" s="9">
        <f>(1-K2)*Base</f>
        <v>53350</v>
      </c>
      <c r="F3" t="s">
        <v>32</v>
      </c>
      <c r="G3" s="14">
        <v>1.2E-2</v>
      </c>
      <c r="K3" s="19"/>
      <c r="O3" s="2"/>
      <c r="Z3" s="17" t="s">
        <v>44</v>
      </c>
      <c r="AA3" s="17"/>
      <c r="AB3" s="17"/>
      <c r="AD3" s="3"/>
    </row>
    <row r="4" spans="2:30" x14ac:dyDescent="0.2">
      <c r="B4" t="s">
        <v>47</v>
      </c>
      <c r="C4" s="9">
        <f>VLOOKUP(C3,rates,3,1)+(C3-VLOOKUP(C3,rates,1,1))*VLOOKUP(C3,rates,2,1)</f>
        <v>8872.75</v>
      </c>
      <c r="Z4" t="s">
        <v>7</v>
      </c>
      <c r="AA4" t="s">
        <v>45</v>
      </c>
      <c r="AB4" t="s">
        <v>46</v>
      </c>
    </row>
    <row r="5" spans="2:30" x14ac:dyDescent="0.2">
      <c r="B5" t="s">
        <v>56</v>
      </c>
      <c r="C5" s="10">
        <f>Base-C4</f>
        <v>46127.25</v>
      </c>
      <c r="Z5" s="2">
        <v>0</v>
      </c>
      <c r="AA5" s="5">
        <v>0.02</v>
      </c>
      <c r="AB5" s="2">
        <f>0</f>
        <v>0</v>
      </c>
    </row>
    <row r="6" spans="2:30" x14ac:dyDescent="0.2">
      <c r="K6" s="8"/>
      <c r="Z6" s="2">
        <v>18200</v>
      </c>
      <c r="AA6" s="5">
        <v>0.21</v>
      </c>
      <c r="AB6" s="2">
        <f>((Table14[[#This Row],[Income]]-Z5)*AA5)+AB5</f>
        <v>364</v>
      </c>
    </row>
    <row r="7" spans="2:30" x14ac:dyDescent="0.2">
      <c r="B7" s="18" t="s">
        <v>53</v>
      </c>
      <c r="C7" s="18"/>
      <c r="D7" s="18"/>
      <c r="F7" s="18" t="s">
        <v>36</v>
      </c>
      <c r="G7" s="18"/>
      <c r="H7" s="18"/>
      <c r="J7" s="18" t="s">
        <v>37</v>
      </c>
      <c r="K7" s="18"/>
      <c r="L7" s="18"/>
      <c r="N7" s="18" t="s">
        <v>38</v>
      </c>
      <c r="O7" s="18"/>
      <c r="P7" s="18"/>
      <c r="Z7" s="2">
        <v>45000</v>
      </c>
      <c r="AA7" s="5">
        <v>0.34499999999999997</v>
      </c>
      <c r="AB7" s="2">
        <f>((Table14[[#This Row],[Income]]-Z6)*AA6)+AB6</f>
        <v>5992</v>
      </c>
    </row>
    <row r="8" spans="2:30" x14ac:dyDescent="0.2">
      <c r="B8" t="s">
        <v>34</v>
      </c>
      <c r="C8" t="s">
        <v>35</v>
      </c>
      <c r="D8" t="s">
        <v>50</v>
      </c>
      <c r="F8" t="s">
        <v>34</v>
      </c>
      <c r="G8" t="s">
        <v>35</v>
      </c>
      <c r="H8" t="s">
        <v>50</v>
      </c>
      <c r="J8" t="s">
        <v>34</v>
      </c>
      <c r="K8" t="s">
        <v>35</v>
      </c>
      <c r="L8" t="s">
        <v>50</v>
      </c>
      <c r="N8" t="s">
        <v>34</v>
      </c>
      <c r="O8" t="s">
        <v>35</v>
      </c>
      <c r="P8" t="s">
        <v>50</v>
      </c>
      <c r="Z8" s="2">
        <v>120000</v>
      </c>
      <c r="AA8" s="5">
        <v>0.39</v>
      </c>
      <c r="AB8" s="2">
        <f>((Table14[[#This Row],[Income]]-Z7)*AA7)+AB7</f>
        <v>31866.999999999996</v>
      </c>
    </row>
    <row r="9" spans="2:30" x14ac:dyDescent="0.2">
      <c r="B9" t="s">
        <v>8</v>
      </c>
      <c r="C9" s="12">
        <v>120</v>
      </c>
      <c r="D9" s="12"/>
      <c r="F9" t="s">
        <v>9</v>
      </c>
      <c r="G9" s="2">
        <v>400</v>
      </c>
      <c r="H9" s="2"/>
      <c r="J9" t="s">
        <v>64</v>
      </c>
      <c r="K9" s="2">
        <f>inc*K2/12</f>
        <v>137.5</v>
      </c>
      <c r="L9" s="2"/>
      <c r="N9" t="s">
        <v>59</v>
      </c>
      <c r="O9" s="2"/>
      <c r="P9" s="2">
        <v>3500</v>
      </c>
      <c r="Z9" s="2">
        <v>180000</v>
      </c>
      <c r="AA9" s="5">
        <v>0.47</v>
      </c>
      <c r="AB9" s="2">
        <f>((Table14[[#This Row],[Income]]-Z8)*AA8)+AB8</f>
        <v>55267</v>
      </c>
    </row>
    <row r="10" spans="2:30" x14ac:dyDescent="0.2">
      <c r="B10" t="s">
        <v>11</v>
      </c>
      <c r="C10" s="12">
        <v>50</v>
      </c>
      <c r="D10" s="12"/>
      <c r="F10" t="s">
        <v>18</v>
      </c>
      <c r="G10" s="2"/>
      <c r="H10" s="2">
        <v>200</v>
      </c>
      <c r="J10" t="s">
        <v>61</v>
      </c>
      <c r="K10" s="2"/>
      <c r="L10" s="2"/>
      <c r="N10" t="s">
        <v>62</v>
      </c>
      <c r="O10" s="2"/>
      <c r="P10" s="2"/>
      <c r="Z10" s="2">
        <v>1000000</v>
      </c>
      <c r="AA10" s="5"/>
      <c r="AB10" s="2">
        <f>((Table14[[#This Row],[Income]]-Z9)*AA9)+AB9</f>
        <v>440667</v>
      </c>
    </row>
    <row r="11" spans="2:30" x14ac:dyDescent="0.2">
      <c r="B11" t="s">
        <v>16</v>
      </c>
      <c r="C11" s="12">
        <v>7</v>
      </c>
      <c r="D11" s="12"/>
      <c r="F11" t="s">
        <v>19</v>
      </c>
      <c r="G11" s="2"/>
      <c r="H11" s="2">
        <v>1000</v>
      </c>
      <c r="J11" t="s">
        <v>14</v>
      </c>
      <c r="K11" s="15">
        <f>SUBTOTAL(109,Table6[Monthly Projected])</f>
        <v>137.5</v>
      </c>
      <c r="L11" s="15">
        <f>SUBTOTAL(109,Table6[Yearly Projected])</f>
        <v>0</v>
      </c>
      <c r="N11" t="s">
        <v>14</v>
      </c>
      <c r="O11" s="2">
        <f>SUBTOTAL(109,Table7[Monthly Projected])</f>
        <v>0</v>
      </c>
      <c r="P11" s="2">
        <f>SUBTOTAL(109,Table7[Yearly Projected])</f>
        <v>3500</v>
      </c>
    </row>
    <row r="12" spans="2:30" x14ac:dyDescent="0.2">
      <c r="B12" t="s">
        <v>10</v>
      </c>
      <c r="C12" s="12">
        <v>12</v>
      </c>
      <c r="D12" s="12"/>
      <c r="F12" t="s">
        <v>21</v>
      </c>
      <c r="G12" s="2"/>
      <c r="H12" s="2"/>
    </row>
    <row r="13" spans="2:30" x14ac:dyDescent="0.2">
      <c r="B13" t="s">
        <v>17</v>
      </c>
      <c r="C13" s="12">
        <v>5</v>
      </c>
      <c r="D13" s="12"/>
      <c r="F13" t="s">
        <v>26</v>
      </c>
      <c r="G13" s="2"/>
      <c r="H13" s="2"/>
    </row>
    <row r="14" spans="2:30" x14ac:dyDescent="0.2">
      <c r="B14" t="s">
        <v>15</v>
      </c>
      <c r="C14" s="12"/>
      <c r="D14" s="12">
        <v>1500</v>
      </c>
      <c r="F14" t="s">
        <v>36</v>
      </c>
      <c r="G14" s="2"/>
      <c r="H14" s="2"/>
    </row>
    <row r="15" spans="2:30" x14ac:dyDescent="0.2">
      <c r="B15" t="s">
        <v>52</v>
      </c>
      <c r="C15" s="12"/>
      <c r="D15" s="12">
        <v>860</v>
      </c>
      <c r="F15" t="s">
        <v>14</v>
      </c>
      <c r="G15" s="4">
        <f>SUBTOTAL(109,Table5[Monthly Projected])</f>
        <v>400</v>
      </c>
      <c r="H15" s="4">
        <f>SUBTOTAL(109,Table5[Yearly Projected])</f>
        <v>1200</v>
      </c>
    </row>
    <row r="16" spans="2:30" x14ac:dyDescent="0.2">
      <c r="B16" t="s">
        <v>60</v>
      </c>
      <c r="C16" s="12"/>
      <c r="D16" s="12"/>
    </row>
    <row r="17" spans="2:16" x14ac:dyDescent="0.2">
      <c r="B17" t="s">
        <v>14</v>
      </c>
      <c r="C17" s="4">
        <f>SUBTOTAL(109,Table2[Monthly Projected])</f>
        <v>194</v>
      </c>
      <c r="D17" s="4">
        <f>SUBTOTAL(109,Table2[Yearly Projected])</f>
        <v>2360</v>
      </c>
    </row>
    <row r="21" spans="2:16" x14ac:dyDescent="0.2">
      <c r="B21" s="18" t="s">
        <v>43</v>
      </c>
      <c r="C21" s="18"/>
      <c r="D21" s="18"/>
      <c r="F21" s="16" t="s">
        <v>41</v>
      </c>
      <c r="G21" s="16"/>
      <c r="H21" s="16"/>
      <c r="J21" s="16" t="s">
        <v>54</v>
      </c>
      <c r="K21" s="16"/>
      <c r="L21" s="16"/>
    </row>
    <row r="22" spans="2:16" x14ac:dyDescent="0.2">
      <c r="B22" t="s">
        <v>34</v>
      </c>
      <c r="C22" s="2" t="s">
        <v>35</v>
      </c>
      <c r="D22" t="s">
        <v>50</v>
      </c>
      <c r="F22" t="s">
        <v>34</v>
      </c>
      <c r="G22" t="s">
        <v>39</v>
      </c>
      <c r="H22" t="s">
        <v>40</v>
      </c>
      <c r="J22" t="s">
        <v>34</v>
      </c>
      <c r="K22" t="s">
        <v>39</v>
      </c>
      <c r="L22" t="s">
        <v>40</v>
      </c>
    </row>
    <row r="23" spans="2:16" x14ac:dyDescent="0.2">
      <c r="B23" t="s">
        <v>48</v>
      </c>
      <c r="C23" s="2">
        <f>C5/12</f>
        <v>3843.9375</v>
      </c>
      <c r="D23" s="2"/>
      <c r="F23" t="s">
        <v>7</v>
      </c>
      <c r="G23" s="3">
        <f>Table11[[#Totals],[Monthly Projected]]+Table11[[#Totals],[Yearly Projected]]/12</f>
        <v>3943.9375</v>
      </c>
      <c r="H23" s="3">
        <f>(Table9[[#This Row],[Monthly]]*12)</f>
        <v>47327.25</v>
      </c>
      <c r="J23" t="s">
        <v>7</v>
      </c>
      <c r="K23" s="2">
        <f>Table11[[#Totals],[Monthly Projected]]+(Table11[[#Totals],[Yearly Projected]]/12)</f>
        <v>3943.9375</v>
      </c>
      <c r="L23" s="2">
        <f>Table15[[#This Row],[Monthly]]*12</f>
        <v>47327.25</v>
      </c>
      <c r="N23" s="17" t="s">
        <v>58</v>
      </c>
      <c r="O23" s="17"/>
      <c r="P23" s="10">
        <f>G2+Table9[[#Totals],[Yearly]]</f>
        <v>131489.25</v>
      </c>
    </row>
    <row r="24" spans="2:16" x14ac:dyDescent="0.2">
      <c r="B24" t="s">
        <v>51</v>
      </c>
      <c r="C24" s="6"/>
      <c r="D24" s="2">
        <f>interestRate*StartBankBalance</f>
        <v>1200</v>
      </c>
      <c r="F24" t="s">
        <v>42</v>
      </c>
      <c r="G24" s="3">
        <f>-(Table2[[#Totals],[Monthly Projected]]+Table5[[#Totals],[Monthly Projected]]+((Table2[[#Totals],[Yearly Projected]]+Table5[[#Totals],[Yearly Projected]])/12))</f>
        <v>-890.66666666666674</v>
      </c>
      <c r="H24" s="3">
        <f>Table9[[#This Row],[Monthly]]*12</f>
        <v>-10688</v>
      </c>
      <c r="J24" t="s">
        <v>42</v>
      </c>
      <c r="K24" s="2">
        <f>-(Table2[[#Totals],[Monthly Projected]]+Table5[[#Totals],[Monthly Projected]]+((Table2[[#Totals],[Yearly Projected]]+Table5[[#Totals],[Yearly Projected]])/12))</f>
        <v>-890.66666666666674</v>
      </c>
      <c r="L24" s="2">
        <f>Table15[[#This Row],[Monthly]]*12</f>
        <v>-10688</v>
      </c>
    </row>
    <row r="25" spans="2:16" x14ac:dyDescent="0.2">
      <c r="B25" t="s">
        <v>14</v>
      </c>
      <c r="C25" s="4">
        <f>SUBTOTAL(109,Table11[Monthly Projected])</f>
        <v>3843.9375</v>
      </c>
      <c r="D25" s="4">
        <f>SUBTOTAL(109,Table11[Yearly Projected])</f>
        <v>1200</v>
      </c>
      <c r="F25" t="s">
        <v>1</v>
      </c>
      <c r="G25" s="3">
        <f>-(Table6[[#Totals],[Monthly Projected]]+Table6[[#Totals],[Yearly Projected]]/12)</f>
        <v>-137.5</v>
      </c>
      <c r="H25" s="3">
        <f>Table9[[#This Row],[Monthly]]*12</f>
        <v>-1650</v>
      </c>
      <c r="J25" t="s">
        <v>14</v>
      </c>
      <c r="K25" s="7">
        <f>SUBTOTAL(109,Table15[Monthly])</f>
        <v>3053.270833333333</v>
      </c>
      <c r="L25" s="7">
        <f>SUBTOTAL(109,Table15[Yearly])</f>
        <v>36639.25</v>
      </c>
    </row>
    <row r="26" spans="2:16" x14ac:dyDescent="0.2">
      <c r="F26" t="s">
        <v>38</v>
      </c>
      <c r="G26" s="3">
        <f>-(Table7[[#Totals],[Monthly Projected]]+Table7[[#Totals],[Yearly Projected]]/12)</f>
        <v>-291.66666666666669</v>
      </c>
      <c r="H26" s="3">
        <f>Table9[[#This Row],[Monthly]]*12</f>
        <v>-3500</v>
      </c>
    </row>
    <row r="27" spans="2:16" x14ac:dyDescent="0.2">
      <c r="F27" t="s">
        <v>49</v>
      </c>
      <c r="G27" s="3">
        <f>SUBTOTAL(109,Table9[Monthly])</f>
        <v>2624.1041666666665</v>
      </c>
      <c r="H27" s="3">
        <f>SUBTOTAL(109,Table9[Yearly])</f>
        <v>31489.25</v>
      </c>
    </row>
  </sheetData>
  <mergeCells count="9">
    <mergeCell ref="N23:O23"/>
    <mergeCell ref="Z3:AB3"/>
    <mergeCell ref="B7:D7"/>
    <mergeCell ref="F7:H7"/>
    <mergeCell ref="J7:L7"/>
    <mergeCell ref="N7:P7"/>
    <mergeCell ref="B21:D21"/>
    <mergeCell ref="F21:H21"/>
    <mergeCell ref="J21:L21"/>
  </mergeCells>
  <conditionalFormatting sqref="G27">
    <cfRule type="expression" dxfId="5" priority="3">
      <formula>"&gt;$O$2"</formula>
    </cfRule>
  </conditionalFormatting>
  <conditionalFormatting sqref="O2">
    <cfRule type="expression" dxfId="4" priority="1">
      <formula>"&lt;AD3"</formula>
    </cfRule>
    <cfRule type="expression" dxfId="3" priority="2">
      <formula>"&gt;$G$29"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43" r:id="rId3" name="Button 47">
              <controlPr defaultSize="0" print="0" autoFill="0" autoPict="0" macro="[0]!ThisWorkbook.DuplicateTables">
                <anchor moveWithCells="1" sizeWithCells="1">
                  <from>
                    <xdr:col>13</xdr:col>
                    <xdr:colOff>12700</xdr:colOff>
                    <xdr:row>0</xdr:row>
                    <xdr:rowOff>203200</xdr:rowOff>
                  </from>
                  <to>
                    <xdr:col>16</xdr:col>
                    <xdr:colOff>12700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8"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026A8-2D47-0D4E-ABD6-4CF13DD6ACF6}">
  <sheetPr codeName="Sheet2"/>
  <dimension ref="N2:R26"/>
  <sheetViews>
    <sheetView zoomScale="140" zoomScaleNormal="140" workbookViewId="0">
      <selection activeCell="H13" sqref="H13"/>
    </sheetView>
  </sheetViews>
  <sheetFormatPr baseColWidth="10" defaultRowHeight="16" x14ac:dyDescent="0.2"/>
  <cols>
    <col min="1" max="7" width="3.1640625" customWidth="1"/>
    <col min="8" max="13" width="3.33203125" customWidth="1"/>
    <col min="14" max="14" width="7.83203125" style="1" bestFit="1" customWidth="1"/>
    <col min="16" max="16" width="13" bestFit="1" customWidth="1"/>
    <col min="17" max="17" width="10.83203125" style="2"/>
    <col min="18" max="18" width="18.6640625" bestFit="1" customWidth="1"/>
    <col min="19" max="52" width="3.33203125" customWidth="1"/>
  </cols>
  <sheetData>
    <row r="2" spans="14:18" x14ac:dyDescent="0.2">
      <c r="N2" s="1" t="s">
        <v>3</v>
      </c>
      <c r="O2" t="s">
        <v>4</v>
      </c>
      <c r="P2" t="s">
        <v>13</v>
      </c>
      <c r="Q2" s="2" t="s">
        <v>5</v>
      </c>
      <c r="R2" t="s">
        <v>6</v>
      </c>
    </row>
    <row r="3" spans="14:18" x14ac:dyDescent="0.2">
      <c r="N3" s="1">
        <v>44361</v>
      </c>
      <c r="O3" t="s">
        <v>2</v>
      </c>
      <c r="P3" t="s">
        <v>9</v>
      </c>
      <c r="Q3" s="2">
        <v>25</v>
      </c>
      <c r="R3" t="s">
        <v>20</v>
      </c>
    </row>
    <row r="4" spans="14:18" x14ac:dyDescent="0.2">
      <c r="N4" s="1">
        <v>44363</v>
      </c>
      <c r="O4" t="s">
        <v>2</v>
      </c>
      <c r="P4" t="s">
        <v>21</v>
      </c>
      <c r="Q4" s="2">
        <v>6</v>
      </c>
      <c r="R4" t="s">
        <v>22</v>
      </c>
    </row>
    <row r="5" spans="14:18" x14ac:dyDescent="0.2">
      <c r="N5" s="1">
        <v>44364</v>
      </c>
      <c r="O5" t="s">
        <v>2</v>
      </c>
      <c r="P5" t="s">
        <v>19</v>
      </c>
      <c r="Q5" s="2">
        <v>90</v>
      </c>
    </row>
    <row r="6" spans="14:18" x14ac:dyDescent="0.2">
      <c r="N6" s="1">
        <v>44364</v>
      </c>
      <c r="O6" t="s">
        <v>1</v>
      </c>
      <c r="P6" t="s">
        <v>64</v>
      </c>
      <c r="Q6" s="2">
        <v>100</v>
      </c>
    </row>
    <row r="7" spans="14:18" x14ac:dyDescent="0.2">
      <c r="N7" s="1">
        <v>44365</v>
      </c>
      <c r="O7" t="s">
        <v>2</v>
      </c>
      <c r="P7" t="s">
        <v>9</v>
      </c>
      <c r="Q7" s="2">
        <v>50</v>
      </c>
      <c r="R7" t="s">
        <v>65</v>
      </c>
    </row>
    <row r="8" spans="14:18" x14ac:dyDescent="0.2">
      <c r="N8" s="1">
        <v>44368</v>
      </c>
      <c r="O8" t="s">
        <v>2</v>
      </c>
      <c r="P8" t="s">
        <v>9</v>
      </c>
      <c r="Q8" s="2">
        <v>4</v>
      </c>
      <c r="R8" t="s">
        <v>23</v>
      </c>
    </row>
    <row r="9" spans="14:18" x14ac:dyDescent="0.2">
      <c r="N9" s="1">
        <v>44368</v>
      </c>
      <c r="O9" t="s">
        <v>0</v>
      </c>
      <c r="P9" t="s">
        <v>16</v>
      </c>
      <c r="Q9" s="2">
        <v>7</v>
      </c>
    </row>
    <row r="10" spans="14:18" x14ac:dyDescent="0.2">
      <c r="N10" s="1">
        <v>44368</v>
      </c>
      <c r="O10" t="s">
        <v>2</v>
      </c>
      <c r="P10" t="s">
        <v>9</v>
      </c>
      <c r="Q10" s="2">
        <v>53</v>
      </c>
      <c r="R10" t="s">
        <v>66</v>
      </c>
    </row>
    <row r="11" spans="14:18" x14ac:dyDescent="0.2">
      <c r="N11" s="1">
        <v>44368</v>
      </c>
      <c r="O11" t="s">
        <v>2</v>
      </c>
      <c r="P11" t="s">
        <v>9</v>
      </c>
      <c r="Q11" s="2">
        <v>62.5</v>
      </c>
      <c r="R11" t="s">
        <v>66</v>
      </c>
    </row>
    <row r="12" spans="14:18" x14ac:dyDescent="0.2">
      <c r="N12" s="1">
        <v>44369</v>
      </c>
      <c r="O12" t="s">
        <v>2</v>
      </c>
      <c r="P12" t="s">
        <v>9</v>
      </c>
      <c r="Q12" s="2">
        <v>12</v>
      </c>
      <c r="R12" t="s">
        <v>65</v>
      </c>
    </row>
    <row r="13" spans="14:18" x14ac:dyDescent="0.2">
      <c r="N13" s="1">
        <v>44370</v>
      </c>
      <c r="O13" t="s">
        <v>2</v>
      </c>
      <c r="P13" t="s">
        <v>9</v>
      </c>
      <c r="Q13" s="2">
        <v>9</v>
      </c>
      <c r="R13" t="s">
        <v>25</v>
      </c>
    </row>
    <row r="14" spans="14:18" x14ac:dyDescent="0.2">
      <c r="N14" s="1">
        <v>44370</v>
      </c>
      <c r="O14" t="s">
        <v>1</v>
      </c>
      <c r="P14" t="s">
        <v>64</v>
      </c>
      <c r="Q14" s="2">
        <v>200</v>
      </c>
    </row>
    <row r="15" spans="14:18" x14ac:dyDescent="0.2">
      <c r="N15" s="1">
        <v>44372</v>
      </c>
      <c r="O15" t="s">
        <v>2</v>
      </c>
      <c r="P15" t="s">
        <v>26</v>
      </c>
      <c r="Q15" s="2">
        <v>10</v>
      </c>
      <c r="R15" t="s">
        <v>27</v>
      </c>
    </row>
    <row r="16" spans="14:18" x14ac:dyDescent="0.2">
      <c r="N16" s="1">
        <v>44372</v>
      </c>
      <c r="O16" t="s">
        <v>2</v>
      </c>
      <c r="P16" t="s">
        <v>26</v>
      </c>
      <c r="Q16" s="2">
        <v>13</v>
      </c>
      <c r="R16" t="s">
        <v>28</v>
      </c>
    </row>
    <row r="17" spans="14:18" x14ac:dyDescent="0.2">
      <c r="N17" s="1">
        <v>44372</v>
      </c>
      <c r="O17" t="s">
        <v>2</v>
      </c>
      <c r="P17" t="s">
        <v>36</v>
      </c>
      <c r="Q17" s="2">
        <v>82</v>
      </c>
    </row>
    <row r="18" spans="14:18" x14ac:dyDescent="0.2">
      <c r="N18" s="1">
        <v>44372</v>
      </c>
      <c r="O18" t="s">
        <v>2</v>
      </c>
      <c r="P18" t="s">
        <v>9</v>
      </c>
      <c r="Q18" s="2">
        <v>33</v>
      </c>
      <c r="R18" t="s">
        <v>24</v>
      </c>
    </row>
    <row r="19" spans="14:18" x14ac:dyDescent="0.2">
      <c r="N19" s="1">
        <v>44375</v>
      </c>
      <c r="O19" t="s">
        <v>2</v>
      </c>
      <c r="P19" t="s">
        <v>9</v>
      </c>
      <c r="Q19" s="2">
        <v>22</v>
      </c>
      <c r="R19" t="s">
        <v>65</v>
      </c>
    </row>
    <row r="20" spans="14:18" x14ac:dyDescent="0.2">
      <c r="N20" s="1">
        <v>44375</v>
      </c>
      <c r="O20" t="s">
        <v>0</v>
      </c>
      <c r="P20" t="s">
        <v>11</v>
      </c>
      <c r="Q20" s="2">
        <v>43</v>
      </c>
    </row>
    <row r="21" spans="14:18" x14ac:dyDescent="0.2">
      <c r="N21" s="1">
        <v>44376</v>
      </c>
      <c r="O21" t="s">
        <v>2</v>
      </c>
      <c r="P21" t="s">
        <v>29</v>
      </c>
      <c r="Q21" s="2">
        <v>29</v>
      </c>
      <c r="R21" t="s">
        <v>67</v>
      </c>
    </row>
    <row r="22" spans="14:18" x14ac:dyDescent="0.2">
      <c r="N22" s="1">
        <v>44376</v>
      </c>
      <c r="O22" t="s">
        <v>2</v>
      </c>
      <c r="P22" t="s">
        <v>21</v>
      </c>
      <c r="Q22" s="2">
        <v>110</v>
      </c>
      <c r="R22" t="s">
        <v>30</v>
      </c>
    </row>
    <row r="23" spans="14:18" x14ac:dyDescent="0.2">
      <c r="N23" s="1">
        <v>44377</v>
      </c>
      <c r="O23" t="s">
        <v>0</v>
      </c>
      <c r="P23" t="s">
        <v>10</v>
      </c>
      <c r="Q23" s="2">
        <v>12</v>
      </c>
    </row>
    <row r="24" spans="14:18" x14ac:dyDescent="0.2">
      <c r="N24" s="1">
        <v>44377</v>
      </c>
      <c r="O24" t="s">
        <v>2</v>
      </c>
      <c r="P24" t="s">
        <v>9</v>
      </c>
      <c r="Q24" s="2">
        <v>39</v>
      </c>
      <c r="R24" t="s">
        <v>31</v>
      </c>
    </row>
    <row r="25" spans="14:18" x14ac:dyDescent="0.2">
      <c r="N25" s="1">
        <v>44377</v>
      </c>
      <c r="O25" t="s">
        <v>1</v>
      </c>
      <c r="P25" t="s">
        <v>64</v>
      </c>
      <c r="Q25" s="2">
        <v>100</v>
      </c>
    </row>
    <row r="26" spans="14:18" x14ac:dyDescent="0.2">
      <c r="N26" s="1">
        <v>44378</v>
      </c>
      <c r="O26" t="s">
        <v>0</v>
      </c>
      <c r="P26" t="s">
        <v>8</v>
      </c>
      <c r="Q26" s="2">
        <v>123.68</v>
      </c>
    </row>
  </sheetData>
  <dataValidations count="2">
    <dataValidation type="list" allowBlank="1" showInputMessage="1" showErrorMessage="1" sqref="O3:O26" xr:uid="{58407FCD-148C-E249-8865-02C9D4B77C57}">
      <formula1>Category</formula1>
    </dataValidation>
    <dataValidation type="list" allowBlank="1" showInputMessage="1" showErrorMessage="1" sqref="P3:P26" xr:uid="{2512C55A-0FB1-3C4E-A786-B67D08823BF8}">
      <formula1>INDIRECT(O3)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9FBAE-A476-C447-8467-87555FA8439F}">
  <dimension ref="B2:G36"/>
  <sheetViews>
    <sheetView tabSelected="1" workbookViewId="0">
      <selection activeCell="N9" sqref="N9"/>
    </sheetView>
  </sheetViews>
  <sheetFormatPr baseColWidth="10" defaultRowHeight="16" x14ac:dyDescent="0.2"/>
  <cols>
    <col min="2" max="2" width="16.5" bestFit="1" customWidth="1"/>
    <col min="3" max="3" width="10.5" bestFit="1" customWidth="1"/>
    <col min="4" max="4" width="13.83203125" bestFit="1" customWidth="1"/>
    <col min="6" max="6" width="7.6640625" bestFit="1" customWidth="1"/>
    <col min="7" max="7" width="15.83203125" bestFit="1" customWidth="1"/>
  </cols>
  <sheetData>
    <row r="2" spans="2:7" x14ac:dyDescent="0.2">
      <c r="B2" t="s">
        <v>77</v>
      </c>
      <c r="C2" t="s">
        <v>75</v>
      </c>
      <c r="D2" t="s">
        <v>76</v>
      </c>
    </row>
    <row r="3" spans="2:7" x14ac:dyDescent="0.2">
      <c r="B3" t="s">
        <v>7</v>
      </c>
      <c r="C3" s="12">
        <f>ROUND(-1*(-SummaryIncome[[#Totals],[June]]),2)</f>
        <v>3943.94</v>
      </c>
      <c r="D3" s="3">
        <f>SUM(C3:C3)</f>
        <v>3943.94</v>
      </c>
    </row>
    <row r="4" spans="2:7" x14ac:dyDescent="0.2">
      <c r="B4" t="s">
        <v>42</v>
      </c>
      <c r="C4" s="12">
        <f>-SummaryExpenses[[#Totals],[June]]</f>
        <v>-682.5</v>
      </c>
      <c r="D4" s="3">
        <f>SUM(C4:C4)</f>
        <v>-682.5</v>
      </c>
    </row>
    <row r="5" spans="2:7" x14ac:dyDescent="0.2">
      <c r="B5" t="s">
        <v>1</v>
      </c>
      <c r="C5" s="12">
        <f>-SummaryFuture[[#Totals],[June]]</f>
        <v>-400</v>
      </c>
      <c r="D5" s="3">
        <f>SUM(C5:C5)</f>
        <v>-400</v>
      </c>
    </row>
    <row r="6" spans="2:7" x14ac:dyDescent="0.2">
      <c r="B6" t="s">
        <v>78</v>
      </c>
      <c r="C6" s="4">
        <f>SUBTOTAL(109,SummaryTotal[June])</f>
        <v>2861.44</v>
      </c>
      <c r="D6" s="3">
        <f>SUBTOTAL(109,SummaryTotal[Year to Date])</f>
        <v>2861.44</v>
      </c>
    </row>
    <row r="9" spans="2:7" x14ac:dyDescent="0.2">
      <c r="B9" t="s">
        <v>7</v>
      </c>
      <c r="C9" t="s">
        <v>75</v>
      </c>
      <c r="D9" t="s">
        <v>76</v>
      </c>
      <c r="F9" t="s">
        <v>72</v>
      </c>
      <c r="G9" t="s">
        <v>79</v>
      </c>
    </row>
    <row r="10" spans="2:7" x14ac:dyDescent="0.2">
      <c r="B10" t="s">
        <v>48</v>
      </c>
      <c r="C10" s="3">
        <f>June!C7</f>
        <v>3843.9375</v>
      </c>
      <c r="D10" s="3">
        <f>SUM(C10:C10)</f>
        <v>3843.9375</v>
      </c>
      <c r="F10" t="s">
        <v>75</v>
      </c>
      <c r="G10" s="12">
        <f>StartBankBalance+SummaryTotal[[#Totals],[June]]</f>
        <v>102861.44</v>
      </c>
    </row>
    <row r="11" spans="2:7" x14ac:dyDescent="0.2">
      <c r="B11" t="s">
        <v>51</v>
      </c>
      <c r="C11" s="3">
        <f>June!C8</f>
        <v>100</v>
      </c>
      <c r="D11" s="3">
        <f>SUM(C11:C11)</f>
        <v>100</v>
      </c>
    </row>
    <row r="12" spans="2:7" x14ac:dyDescent="0.2">
      <c r="B12" t="s">
        <v>14</v>
      </c>
      <c r="C12" s="3">
        <f>SUBTOTAL(109,SummaryIncome[June])</f>
        <v>3943.9375</v>
      </c>
      <c r="D12" s="3">
        <f>SUBTOTAL(109,SummaryIncome[Year to Date])</f>
        <v>3943.9375</v>
      </c>
    </row>
    <row r="15" spans="2:7" x14ac:dyDescent="0.2">
      <c r="B15" t="s">
        <v>42</v>
      </c>
      <c r="C15" t="s">
        <v>75</v>
      </c>
      <c r="D15" t="s">
        <v>76</v>
      </c>
    </row>
    <row r="16" spans="2:7" x14ac:dyDescent="0.2">
      <c r="B16" t="s">
        <v>8</v>
      </c>
      <c r="C16" s="3">
        <f>June!C15</f>
        <v>0</v>
      </c>
      <c r="D16" s="3">
        <f>SUM(C16:C16)</f>
        <v>0</v>
      </c>
    </row>
    <row r="17" spans="2:4" x14ac:dyDescent="0.2">
      <c r="B17" t="s">
        <v>11</v>
      </c>
      <c r="C17" s="3">
        <f>June!C16</f>
        <v>43</v>
      </c>
      <c r="D17" s="3">
        <f>SUM(C17:C17)</f>
        <v>43</v>
      </c>
    </row>
    <row r="18" spans="2:4" x14ac:dyDescent="0.2">
      <c r="B18" t="s">
        <v>16</v>
      </c>
      <c r="C18" s="3">
        <f>June!C17</f>
        <v>7</v>
      </c>
      <c r="D18" s="3">
        <f>SUM(C18:C18)</f>
        <v>7</v>
      </c>
    </row>
    <row r="19" spans="2:4" x14ac:dyDescent="0.2">
      <c r="B19" t="s">
        <v>10</v>
      </c>
      <c r="C19" s="3">
        <f>June!C18</f>
        <v>12</v>
      </c>
      <c r="D19" s="3">
        <f>SUM(C19:C19)</f>
        <v>12</v>
      </c>
    </row>
    <row r="20" spans="2:4" x14ac:dyDescent="0.2">
      <c r="B20" t="s">
        <v>17</v>
      </c>
      <c r="C20" s="3">
        <f>June!C19</f>
        <v>0</v>
      </c>
      <c r="D20" s="3">
        <f>SUM(C20:C20)</f>
        <v>0</v>
      </c>
    </row>
    <row r="21" spans="2:4" x14ac:dyDescent="0.2">
      <c r="B21" t="s">
        <v>15</v>
      </c>
      <c r="C21" s="3">
        <f>June!C20</f>
        <v>0</v>
      </c>
      <c r="D21" s="3">
        <f>SUM(C21:C21)</f>
        <v>0</v>
      </c>
    </row>
    <row r="22" spans="2:4" x14ac:dyDescent="0.2">
      <c r="B22" t="s">
        <v>52</v>
      </c>
      <c r="C22" s="3">
        <f>June!C21</f>
        <v>0</v>
      </c>
      <c r="D22" s="3">
        <f>SUM(C22:C22)</f>
        <v>0</v>
      </c>
    </row>
    <row r="23" spans="2:4" x14ac:dyDescent="0.2">
      <c r="B23" t="s">
        <v>60</v>
      </c>
      <c r="C23" s="3">
        <f>June!C22</f>
        <v>0</v>
      </c>
      <c r="D23" s="3">
        <f>SUM(C23:C23)</f>
        <v>0</v>
      </c>
    </row>
    <row r="24" spans="2:4" x14ac:dyDescent="0.2">
      <c r="B24" t="s">
        <v>9</v>
      </c>
      <c r="C24" s="3">
        <f>June!F15</f>
        <v>309.5</v>
      </c>
      <c r="D24" s="3">
        <f>SUM(C24:C24)</f>
        <v>309.5</v>
      </c>
    </row>
    <row r="25" spans="2:4" x14ac:dyDescent="0.2">
      <c r="B25" t="s">
        <v>18</v>
      </c>
      <c r="C25" s="3">
        <f>June!F16</f>
        <v>0</v>
      </c>
      <c r="D25" s="3">
        <f>SUM(C25:C25)</f>
        <v>0</v>
      </c>
    </row>
    <row r="26" spans="2:4" x14ac:dyDescent="0.2">
      <c r="B26" t="s">
        <v>19</v>
      </c>
      <c r="C26" s="3">
        <f>June!F17</f>
        <v>90</v>
      </c>
      <c r="D26" s="3">
        <f>SUM(C26:C26)</f>
        <v>90</v>
      </c>
    </row>
    <row r="27" spans="2:4" x14ac:dyDescent="0.2">
      <c r="B27" t="s">
        <v>21</v>
      </c>
      <c r="C27" s="3">
        <f>June!F18</f>
        <v>116</v>
      </c>
      <c r="D27" s="3">
        <f>SUM(C27:C27)</f>
        <v>116</v>
      </c>
    </row>
    <row r="28" spans="2:4" x14ac:dyDescent="0.2">
      <c r="B28" t="s">
        <v>26</v>
      </c>
      <c r="C28" s="3">
        <f>June!F19</f>
        <v>23</v>
      </c>
      <c r="D28" s="3">
        <f>SUM(C28:C28)</f>
        <v>23</v>
      </c>
    </row>
    <row r="29" spans="2:4" x14ac:dyDescent="0.2">
      <c r="B29" t="s">
        <v>36</v>
      </c>
      <c r="C29" s="3">
        <f>June!F20</f>
        <v>82</v>
      </c>
      <c r="D29" s="3">
        <f>SUM(C29:C29)</f>
        <v>82</v>
      </c>
    </row>
    <row r="30" spans="2:4" x14ac:dyDescent="0.2">
      <c r="B30" t="s">
        <v>14</v>
      </c>
      <c r="C30" s="3">
        <f>SUBTOTAL(109,SummaryExpenses[June])</f>
        <v>682.5</v>
      </c>
      <c r="D30" s="3">
        <f>SUBTOTAL(109,SummaryExpenses[Year to Date])</f>
        <v>682.5</v>
      </c>
    </row>
    <row r="33" spans="2:4" x14ac:dyDescent="0.2">
      <c r="B33" t="s">
        <v>1</v>
      </c>
      <c r="C33" t="s">
        <v>75</v>
      </c>
      <c r="D33" t="s">
        <v>76</v>
      </c>
    </row>
    <row r="34" spans="2:4" x14ac:dyDescent="0.2">
      <c r="B34" t="s">
        <v>64</v>
      </c>
      <c r="C34" s="3">
        <f>June!I15</f>
        <v>400</v>
      </c>
      <c r="D34" s="3">
        <f>SUM(C34:C34)</f>
        <v>400</v>
      </c>
    </row>
    <row r="35" spans="2:4" x14ac:dyDescent="0.2">
      <c r="B35" t="s">
        <v>61</v>
      </c>
      <c r="C35" s="3">
        <f>June!I16</f>
        <v>0</v>
      </c>
      <c r="D35" s="3">
        <f>SUM(C35:C35)</f>
        <v>0</v>
      </c>
    </row>
    <row r="36" spans="2:4" x14ac:dyDescent="0.2">
      <c r="B36" t="s">
        <v>14</v>
      </c>
      <c r="C36" s="3">
        <f>SUBTOTAL(109,SummaryFuture[June])</f>
        <v>400</v>
      </c>
      <c r="D36" s="3">
        <f>SUBTOTAL(109,SummaryFuture[Year to Date])</f>
        <v>400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hisWorkbook.SummaryPage">
                <anchor moveWithCells="1" sizeWithCells="1">
                  <from>
                    <xdr:col>4</xdr:col>
                    <xdr:colOff>622300</xdr:colOff>
                    <xdr:row>1</xdr:row>
                    <xdr:rowOff>12700</xdr:rowOff>
                  </from>
                  <to>
                    <xdr:col>7</xdr:col>
                    <xdr:colOff>635000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89486-B60C-7944-B3B0-C1DA7E826381}">
  <dimension ref="B2:I102"/>
  <sheetViews>
    <sheetView workbookViewId="0">
      <selection activeCell="T23" sqref="T23"/>
    </sheetView>
  </sheetViews>
  <sheetFormatPr baseColWidth="10" defaultRowHeight="16" x14ac:dyDescent="0.2"/>
  <cols>
    <col min="2" max="2" width="14.33203125" bestFit="1" customWidth="1"/>
    <col min="3" max="3" width="10.5" bestFit="1" customWidth="1"/>
    <col min="5" max="5" width="13.83203125" bestFit="1" customWidth="1"/>
    <col min="6" max="6" width="10.5" bestFit="1" customWidth="1"/>
    <col min="8" max="8" width="16.5" bestFit="1" customWidth="1"/>
    <col min="9" max="9" width="12.5" bestFit="1" customWidth="1"/>
  </cols>
  <sheetData>
    <row r="2" spans="2:9" x14ac:dyDescent="0.2">
      <c r="B2" t="s">
        <v>70</v>
      </c>
      <c r="C2" t="s">
        <v>71</v>
      </c>
      <c r="H2" t="s">
        <v>72</v>
      </c>
      <c r="I2" t="s">
        <v>70</v>
      </c>
    </row>
    <row r="3" spans="2:9" x14ac:dyDescent="0.2">
      <c r="B3" t="s">
        <v>68</v>
      </c>
      <c r="C3" s="20">
        <v>44348</v>
      </c>
      <c r="H3" t="s">
        <v>73</v>
      </c>
      <c r="I3" s="3">
        <f>StartBankBalance</f>
        <v>100000</v>
      </c>
    </row>
    <row r="4" spans="2:9" x14ac:dyDescent="0.2">
      <c r="B4" t="s">
        <v>69</v>
      </c>
      <c r="C4" s="20">
        <v>44377</v>
      </c>
      <c r="H4" t="s">
        <v>74</v>
      </c>
      <c r="I4" s="3">
        <f>StartBankBalance+JuneTotal[[#Totals],[ ]]-F9</f>
        <v>102861.4375</v>
      </c>
    </row>
    <row r="6" spans="2:9" x14ac:dyDescent="0.2">
      <c r="B6" t="s">
        <v>7</v>
      </c>
      <c r="C6" t="s">
        <v>14</v>
      </c>
      <c r="E6" t="s">
        <v>42</v>
      </c>
      <c r="F6" t="s">
        <v>14</v>
      </c>
      <c r="H6" t="s">
        <v>14</v>
      </c>
      <c r="I6" t="s">
        <v>70</v>
      </c>
    </row>
    <row r="7" spans="2:9" x14ac:dyDescent="0.2">
      <c r="B7" t="s">
        <v>48</v>
      </c>
      <c r="C7" s="3">
        <f>NetSalary/12</f>
        <v>3843.9375</v>
      </c>
      <c r="E7" t="s">
        <v>0</v>
      </c>
      <c r="F7" s="3">
        <f>JuneBills[[#Totals],[Total]]</f>
        <v>62</v>
      </c>
      <c r="H7" t="s">
        <v>7</v>
      </c>
      <c r="I7" s="3">
        <f>SUM(C7:C8)</f>
        <v>3943.9375</v>
      </c>
    </row>
    <row r="8" spans="2:9" x14ac:dyDescent="0.2">
      <c r="B8" t="s">
        <v>51</v>
      </c>
      <c r="C8" s="3">
        <f>StartBankBalance*interestRate/12</f>
        <v>100</v>
      </c>
      <c r="E8" t="s">
        <v>2</v>
      </c>
      <c r="F8" s="3">
        <f>JuneOther[[#Totals],[Total]]</f>
        <v>620.5</v>
      </c>
      <c r="H8" t="s">
        <v>42</v>
      </c>
      <c r="I8" s="3">
        <f>-SUM(F7:F8)</f>
        <v>-682.5</v>
      </c>
    </row>
    <row r="9" spans="2:9" x14ac:dyDescent="0.2">
      <c r="B9" t="s">
        <v>14</v>
      </c>
      <c r="C9" s="3">
        <f>SUBTOTAL(109,JuneIncome[Total])</f>
        <v>3943.9375</v>
      </c>
      <c r="E9" t="s">
        <v>1</v>
      </c>
      <c r="F9" s="3">
        <f>JuneFuture[[#Totals],[Total]]</f>
        <v>400</v>
      </c>
      <c r="H9" t="s">
        <v>14</v>
      </c>
      <c r="I9" s="3">
        <f>SUBTOTAL(109,JuneTotal[[ ]])</f>
        <v>3261.4375</v>
      </c>
    </row>
    <row r="10" spans="2:9" x14ac:dyDescent="0.2">
      <c r="C10" s="3"/>
      <c r="E10" t="s">
        <v>14</v>
      </c>
      <c r="F10" s="3">
        <f>SUBTOTAL(109,JuneExpenses[Total])</f>
        <v>1082.5</v>
      </c>
      <c r="I10" s="3"/>
    </row>
    <row r="11" spans="2:9" x14ac:dyDescent="0.2">
      <c r="C11" s="3"/>
      <c r="F11" s="3"/>
      <c r="I11" s="3"/>
    </row>
    <row r="12" spans="2:9" x14ac:dyDescent="0.2">
      <c r="C12" s="3"/>
      <c r="F12" s="3"/>
      <c r="I12" s="3"/>
    </row>
    <row r="13" spans="2:9" x14ac:dyDescent="0.2">
      <c r="C13" s="3"/>
      <c r="F13" s="3"/>
      <c r="I13" s="3"/>
    </row>
    <row r="14" spans="2:9" x14ac:dyDescent="0.2">
      <c r="B14" t="s">
        <v>0</v>
      </c>
      <c r="C14" s="3" t="s">
        <v>14</v>
      </c>
      <c r="E14" t="s">
        <v>2</v>
      </c>
      <c r="F14" s="3" t="s">
        <v>14</v>
      </c>
      <c r="H14" t="s">
        <v>1</v>
      </c>
      <c r="I14" s="3" t="s">
        <v>14</v>
      </c>
    </row>
    <row r="15" spans="2:9" x14ac:dyDescent="0.2">
      <c r="B15" t="s">
        <v>8</v>
      </c>
      <c r="C15" s="3">
        <f>SUMIFS(Table8[Amount],Table8[Item],"="&amp;JuneBills[[#This Row],[Bills]],Table8[Category],"="&amp;JuneBills[[#Headers],[Bills]],Table8[Date],"&lt;="&amp;$C$4, Table8[Date],"&gt;=" &amp;$C$3)</f>
        <v>0</v>
      </c>
      <c r="E15" t="s">
        <v>9</v>
      </c>
      <c r="F15" s="3">
        <f>SUMIFS(Table8[Amount],Table8[Item],"="&amp;JuneOther[[#This Row],[Other]],Table8[Category],"="&amp;JuneOther[[#Headers],[Other]],Table8[Date],"&lt;="&amp;$C$4, Table8[Date],"&gt;=" &amp;$C$3)</f>
        <v>309.5</v>
      </c>
      <c r="H15" t="s">
        <v>64</v>
      </c>
      <c r="I15" s="3">
        <f>SUMIFS(Table8[Amount],Table8[Item],"="&amp;JuneFuture[[#This Row],[Future]],Table8[Category],"="&amp;JuneFuture[[#Headers],[Future]],Table8[Date],"&lt;="&amp;$C$4, Table8[Date],"&gt;=" &amp;$C$3)</f>
        <v>400</v>
      </c>
    </row>
    <row r="16" spans="2:9" x14ac:dyDescent="0.2">
      <c r="B16" t="s">
        <v>11</v>
      </c>
      <c r="C16" s="3">
        <f>SUMIFS(Table8[Amount],Table8[Item],"="&amp;JuneBills[[#This Row],[Bills]],Table8[Category],"="&amp;JuneBills[[#Headers],[Bills]],Table8[Date],"&lt;="&amp;$C$4, Table8[Date],"&gt;=" &amp;$C$3)</f>
        <v>43</v>
      </c>
      <c r="E16" t="s">
        <v>18</v>
      </c>
      <c r="F16" s="3">
        <f>SUMIFS(Table8[Amount],Table8[Item],"="&amp;JuneOther[[#This Row],[Other]],Table8[Category],"="&amp;JuneOther[[#Headers],[Other]],Table8[Date],"&lt;="&amp;$C$4, Table8[Date],"&gt;=" &amp;$C$3)</f>
        <v>0</v>
      </c>
      <c r="H16" t="s">
        <v>61</v>
      </c>
      <c r="I16" s="3">
        <f>SUMIFS(Table8[Amount],Table8[Item],"="&amp;JuneFuture[[#This Row],[Future]],Table8[Category],"="&amp;JuneFuture[[#Headers],[Future]],Table8[Date],"&lt;="&amp;$C$4, Table8[Date],"&gt;=" &amp;$C$3)</f>
        <v>0</v>
      </c>
    </row>
    <row r="17" spans="2:9" x14ac:dyDescent="0.2">
      <c r="B17" t="s">
        <v>16</v>
      </c>
      <c r="C17" s="3">
        <f>SUMIFS(Table8[Amount],Table8[Item],"="&amp;JuneBills[[#This Row],[Bills]],Table8[Category],"="&amp;JuneBills[[#Headers],[Bills]],Table8[Date],"&lt;="&amp;$C$4, Table8[Date],"&gt;=" &amp;$C$3)</f>
        <v>7</v>
      </c>
      <c r="E17" t="s">
        <v>19</v>
      </c>
      <c r="F17" s="3">
        <f>SUMIFS(Table8[Amount],Table8[Item],"="&amp;JuneOther[[#This Row],[Other]],Table8[Category],"="&amp;JuneOther[[#Headers],[Other]],Table8[Date],"&lt;="&amp;$C$4, Table8[Date],"&gt;=" &amp;$C$3)</f>
        <v>90</v>
      </c>
      <c r="H17" t="s">
        <v>14</v>
      </c>
      <c r="I17" s="3">
        <f>SUBTOTAL(109,JuneFuture[Total])</f>
        <v>400</v>
      </c>
    </row>
    <row r="18" spans="2:9" x14ac:dyDescent="0.2">
      <c r="B18" t="s">
        <v>10</v>
      </c>
      <c r="C18" s="3">
        <f>SUMIFS(Table8[Amount],Table8[Item],"="&amp;JuneBills[[#This Row],[Bills]],Table8[Category],"="&amp;JuneBills[[#Headers],[Bills]],Table8[Date],"&lt;="&amp;$C$4, Table8[Date],"&gt;=" &amp;$C$3)</f>
        <v>12</v>
      </c>
      <c r="E18" t="s">
        <v>21</v>
      </c>
      <c r="F18" s="3">
        <f>SUMIFS(Table8[Amount],Table8[Item],"="&amp;JuneOther[[#This Row],[Other]],Table8[Category],"="&amp;JuneOther[[#Headers],[Other]],Table8[Date],"&lt;="&amp;$C$4, Table8[Date],"&gt;=" &amp;$C$3)</f>
        <v>116</v>
      </c>
      <c r="I18" s="3"/>
    </row>
    <row r="19" spans="2:9" x14ac:dyDescent="0.2">
      <c r="B19" t="s">
        <v>17</v>
      </c>
      <c r="C19" s="3">
        <f>SUMIFS(Table8[Amount],Table8[Item],"="&amp;JuneBills[[#This Row],[Bills]],Table8[Category],"="&amp;JuneBills[[#Headers],[Bills]],Table8[Date],"&lt;="&amp;$C$4, Table8[Date],"&gt;=" &amp;$C$3)</f>
        <v>0</v>
      </c>
      <c r="E19" t="s">
        <v>26</v>
      </c>
      <c r="F19" s="3">
        <f>SUMIFS(Table8[Amount],Table8[Item],"="&amp;JuneOther[[#This Row],[Other]],Table8[Category],"="&amp;JuneOther[[#Headers],[Other]],Table8[Date],"&lt;="&amp;$C$4, Table8[Date],"&gt;=" &amp;$C$3)</f>
        <v>23</v>
      </c>
      <c r="I19" s="3"/>
    </row>
    <row r="20" spans="2:9" x14ac:dyDescent="0.2">
      <c r="B20" t="s">
        <v>15</v>
      </c>
      <c r="C20" s="3">
        <f>SUMIFS(Table8[Amount],Table8[Item],"="&amp;JuneBills[[#This Row],[Bills]],Table8[Category],"="&amp;JuneBills[[#Headers],[Bills]],Table8[Date],"&lt;="&amp;$C$4, Table8[Date],"&gt;=" &amp;$C$3)</f>
        <v>0</v>
      </c>
      <c r="E20" t="s">
        <v>36</v>
      </c>
      <c r="F20" s="3">
        <f>SUMIFS(Table8[Amount],Table8[Item],"="&amp;JuneOther[[#This Row],[Other]],Table8[Category],"="&amp;JuneOther[[#Headers],[Other]],Table8[Date],"&lt;="&amp;$C$4, Table8[Date],"&gt;=" &amp;$C$3)</f>
        <v>82</v>
      </c>
      <c r="I20" s="3"/>
    </row>
    <row r="21" spans="2:9" x14ac:dyDescent="0.2">
      <c r="B21" t="s">
        <v>52</v>
      </c>
      <c r="C21" s="3">
        <f>SUMIFS(Table8[Amount],Table8[Item],"="&amp;JuneBills[[#This Row],[Bills]],Table8[Category],"="&amp;JuneBills[[#Headers],[Bills]],Table8[Date],"&lt;="&amp;$C$4, Table8[Date],"&gt;=" &amp;$C$3)</f>
        <v>0</v>
      </c>
      <c r="E21" t="s">
        <v>14</v>
      </c>
      <c r="F21" s="3">
        <f>SUBTOTAL(109,JuneOther[Total])</f>
        <v>620.5</v>
      </c>
      <c r="I21" s="3"/>
    </row>
    <row r="22" spans="2:9" x14ac:dyDescent="0.2">
      <c r="B22" t="s">
        <v>60</v>
      </c>
      <c r="C22" s="3">
        <f>SUMIFS(Table8[Amount],Table8[Item],"="&amp;JuneBills[[#This Row],[Bills]],Table8[Category],"="&amp;JuneBills[[#Headers],[Bills]],Table8[Date],"&lt;="&amp;$C$4, Table8[Date],"&gt;=" &amp;$C$3)</f>
        <v>0</v>
      </c>
      <c r="F22" s="3"/>
      <c r="I22" s="3"/>
    </row>
    <row r="23" spans="2:9" x14ac:dyDescent="0.2">
      <c r="B23" t="s">
        <v>14</v>
      </c>
      <c r="C23" s="3">
        <f>SUBTOTAL(109,JuneBills[Total])</f>
        <v>62</v>
      </c>
      <c r="F23" s="3"/>
      <c r="I23" s="3"/>
    </row>
    <row r="24" spans="2:9" x14ac:dyDescent="0.2">
      <c r="C24" s="3"/>
      <c r="F24" s="3"/>
      <c r="I24" s="3"/>
    </row>
    <row r="25" spans="2:9" x14ac:dyDescent="0.2">
      <c r="C25" s="3"/>
      <c r="F25" s="3"/>
      <c r="I25" s="3"/>
    </row>
    <row r="26" spans="2:9" x14ac:dyDescent="0.2">
      <c r="C26" s="3"/>
      <c r="F26" s="3"/>
      <c r="I26" s="3"/>
    </row>
    <row r="27" spans="2:9" x14ac:dyDescent="0.2">
      <c r="C27" s="3"/>
      <c r="F27" s="3"/>
      <c r="I27" s="3"/>
    </row>
    <row r="28" spans="2:9" x14ac:dyDescent="0.2">
      <c r="C28" s="3"/>
      <c r="F28" s="3"/>
      <c r="I28" s="3"/>
    </row>
    <row r="29" spans="2:9" x14ac:dyDescent="0.2">
      <c r="C29" s="3"/>
      <c r="F29" s="3"/>
      <c r="I29" s="3"/>
    </row>
    <row r="30" spans="2:9" x14ac:dyDescent="0.2">
      <c r="C30" s="3"/>
      <c r="F30" s="3"/>
      <c r="I30" s="3"/>
    </row>
    <row r="31" spans="2:9" x14ac:dyDescent="0.2">
      <c r="C31" s="3"/>
      <c r="F31" s="3"/>
      <c r="I31" s="3"/>
    </row>
    <row r="32" spans="2:9" x14ac:dyDescent="0.2">
      <c r="C32" s="3"/>
      <c r="F32" s="3"/>
      <c r="I32" s="3"/>
    </row>
    <row r="33" spans="3:9" x14ac:dyDescent="0.2">
      <c r="C33" s="3"/>
      <c r="F33" s="3"/>
      <c r="I33" s="3"/>
    </row>
    <row r="34" spans="3:9" x14ac:dyDescent="0.2">
      <c r="C34" s="3"/>
      <c r="F34" s="3"/>
      <c r="I34" s="3"/>
    </row>
    <row r="35" spans="3:9" x14ac:dyDescent="0.2">
      <c r="C35" s="3"/>
      <c r="F35" s="3"/>
      <c r="I35" s="3"/>
    </row>
    <row r="36" spans="3:9" x14ac:dyDescent="0.2">
      <c r="C36" s="3"/>
      <c r="F36" s="3"/>
      <c r="I36" s="3"/>
    </row>
    <row r="37" spans="3:9" x14ac:dyDescent="0.2">
      <c r="C37" s="3"/>
      <c r="F37" s="3"/>
      <c r="I37" s="3"/>
    </row>
    <row r="38" spans="3:9" x14ac:dyDescent="0.2">
      <c r="C38" s="3"/>
      <c r="F38" s="3"/>
      <c r="I38" s="3"/>
    </row>
    <row r="39" spans="3:9" x14ac:dyDescent="0.2">
      <c r="C39" s="3"/>
      <c r="F39" s="3"/>
      <c r="I39" s="3"/>
    </row>
    <row r="40" spans="3:9" x14ac:dyDescent="0.2">
      <c r="C40" s="3"/>
      <c r="F40" s="3"/>
      <c r="I40" s="3"/>
    </row>
    <row r="41" spans="3:9" x14ac:dyDescent="0.2">
      <c r="C41" s="3"/>
      <c r="F41" s="3"/>
      <c r="I41" s="3"/>
    </row>
    <row r="42" spans="3:9" x14ac:dyDescent="0.2">
      <c r="C42" s="3"/>
      <c r="F42" s="3"/>
      <c r="I42" s="3"/>
    </row>
    <row r="43" spans="3:9" x14ac:dyDescent="0.2">
      <c r="C43" s="3"/>
      <c r="F43" s="3"/>
      <c r="I43" s="3"/>
    </row>
    <row r="44" spans="3:9" x14ac:dyDescent="0.2">
      <c r="C44" s="3"/>
      <c r="F44" s="3"/>
      <c r="I44" s="3"/>
    </row>
    <row r="45" spans="3:9" x14ac:dyDescent="0.2">
      <c r="C45" s="3"/>
      <c r="F45" s="3"/>
      <c r="I45" s="3"/>
    </row>
    <row r="46" spans="3:9" x14ac:dyDescent="0.2">
      <c r="C46" s="3"/>
      <c r="F46" s="3"/>
      <c r="I46" s="3"/>
    </row>
    <row r="47" spans="3:9" x14ac:dyDescent="0.2">
      <c r="C47" s="3"/>
      <c r="F47" s="3"/>
      <c r="I47" s="3"/>
    </row>
    <row r="48" spans="3:9" x14ac:dyDescent="0.2">
      <c r="C48" s="3"/>
      <c r="F48" s="3"/>
      <c r="I48" s="3"/>
    </row>
    <row r="49" spans="3:9" x14ac:dyDescent="0.2">
      <c r="C49" s="3"/>
      <c r="F49" s="3"/>
      <c r="I49" s="3"/>
    </row>
    <row r="50" spans="3:9" x14ac:dyDescent="0.2">
      <c r="C50" s="3"/>
      <c r="F50" s="3"/>
      <c r="I50" s="3"/>
    </row>
    <row r="51" spans="3:9" x14ac:dyDescent="0.2">
      <c r="C51" s="3"/>
      <c r="F51" s="3"/>
      <c r="I51" s="3"/>
    </row>
    <row r="52" spans="3:9" x14ac:dyDescent="0.2">
      <c r="C52" s="3"/>
      <c r="F52" s="3"/>
      <c r="I52" s="3"/>
    </row>
    <row r="53" spans="3:9" x14ac:dyDescent="0.2">
      <c r="C53" s="3"/>
      <c r="F53" s="3"/>
      <c r="I53" s="3"/>
    </row>
    <row r="54" spans="3:9" x14ac:dyDescent="0.2">
      <c r="C54" s="3"/>
      <c r="F54" s="3"/>
      <c r="I54" s="3"/>
    </row>
    <row r="55" spans="3:9" x14ac:dyDescent="0.2">
      <c r="C55" s="3"/>
      <c r="F55" s="3"/>
      <c r="I55" s="3"/>
    </row>
    <row r="56" spans="3:9" x14ac:dyDescent="0.2">
      <c r="C56" s="3"/>
      <c r="F56" s="3"/>
      <c r="I56" s="3"/>
    </row>
    <row r="57" spans="3:9" x14ac:dyDescent="0.2">
      <c r="C57" s="3"/>
      <c r="F57" s="3"/>
      <c r="I57" s="3"/>
    </row>
    <row r="58" spans="3:9" x14ac:dyDescent="0.2">
      <c r="C58" s="3"/>
      <c r="F58" s="3"/>
      <c r="I58" s="3"/>
    </row>
    <row r="59" spans="3:9" x14ac:dyDescent="0.2">
      <c r="C59" s="3"/>
      <c r="F59" s="3"/>
      <c r="I59" s="3"/>
    </row>
    <row r="60" spans="3:9" x14ac:dyDescent="0.2">
      <c r="C60" s="3"/>
      <c r="F60" s="3"/>
      <c r="I60" s="3"/>
    </row>
    <row r="61" spans="3:9" x14ac:dyDescent="0.2">
      <c r="C61" s="3"/>
      <c r="F61" s="3"/>
      <c r="I61" s="3"/>
    </row>
    <row r="62" spans="3:9" x14ac:dyDescent="0.2">
      <c r="C62" s="3"/>
      <c r="F62" s="3"/>
      <c r="I62" s="3"/>
    </row>
    <row r="63" spans="3:9" x14ac:dyDescent="0.2">
      <c r="C63" s="3"/>
      <c r="F63" s="3"/>
      <c r="I63" s="3"/>
    </row>
    <row r="64" spans="3:9" x14ac:dyDescent="0.2">
      <c r="C64" s="3"/>
      <c r="F64" s="3"/>
      <c r="I64" s="3"/>
    </row>
    <row r="65" spans="3:9" x14ac:dyDescent="0.2">
      <c r="C65" s="3"/>
      <c r="F65" s="3"/>
      <c r="I65" s="3"/>
    </row>
    <row r="66" spans="3:9" x14ac:dyDescent="0.2">
      <c r="C66" s="3"/>
      <c r="F66" s="3"/>
      <c r="I66" s="3"/>
    </row>
    <row r="67" spans="3:9" x14ac:dyDescent="0.2">
      <c r="C67" s="3"/>
      <c r="F67" s="3"/>
      <c r="I67" s="3"/>
    </row>
    <row r="68" spans="3:9" x14ac:dyDescent="0.2">
      <c r="C68" s="3"/>
      <c r="F68" s="3"/>
      <c r="I68" s="3"/>
    </row>
    <row r="69" spans="3:9" x14ac:dyDescent="0.2">
      <c r="C69" s="3"/>
      <c r="F69" s="3"/>
      <c r="I69" s="3"/>
    </row>
    <row r="70" spans="3:9" x14ac:dyDescent="0.2">
      <c r="C70" s="3"/>
      <c r="F70" s="3"/>
      <c r="I70" s="3"/>
    </row>
    <row r="71" spans="3:9" x14ac:dyDescent="0.2">
      <c r="C71" s="3"/>
      <c r="F71" s="3"/>
      <c r="I71" s="3"/>
    </row>
    <row r="72" spans="3:9" x14ac:dyDescent="0.2">
      <c r="C72" s="3"/>
      <c r="F72" s="3"/>
      <c r="I72" s="3"/>
    </row>
    <row r="73" spans="3:9" x14ac:dyDescent="0.2">
      <c r="C73" s="3"/>
      <c r="F73" s="3"/>
      <c r="I73" s="3"/>
    </row>
    <row r="74" spans="3:9" x14ac:dyDescent="0.2">
      <c r="C74" s="3"/>
      <c r="F74" s="3"/>
      <c r="I74" s="3"/>
    </row>
    <row r="75" spans="3:9" x14ac:dyDescent="0.2">
      <c r="C75" s="3"/>
      <c r="F75" s="3"/>
      <c r="I75" s="3"/>
    </row>
    <row r="76" spans="3:9" x14ac:dyDescent="0.2">
      <c r="C76" s="3"/>
      <c r="F76" s="3"/>
      <c r="I76" s="3"/>
    </row>
    <row r="77" spans="3:9" x14ac:dyDescent="0.2">
      <c r="C77" s="3"/>
      <c r="F77" s="3"/>
      <c r="I77" s="3"/>
    </row>
    <row r="78" spans="3:9" x14ac:dyDescent="0.2">
      <c r="C78" s="3"/>
      <c r="F78" s="3"/>
      <c r="I78" s="3"/>
    </row>
    <row r="79" spans="3:9" x14ac:dyDescent="0.2">
      <c r="C79" s="3"/>
      <c r="F79" s="3"/>
      <c r="I79" s="3"/>
    </row>
    <row r="80" spans="3:9" x14ac:dyDescent="0.2">
      <c r="C80" s="3"/>
      <c r="F80" s="3"/>
      <c r="I80" s="3"/>
    </row>
    <row r="81" spans="3:9" x14ac:dyDescent="0.2">
      <c r="C81" s="3"/>
      <c r="F81" s="3"/>
      <c r="I81" s="3"/>
    </row>
    <row r="82" spans="3:9" x14ac:dyDescent="0.2">
      <c r="C82" s="3"/>
      <c r="F82" s="3"/>
      <c r="I82" s="3"/>
    </row>
    <row r="83" spans="3:9" x14ac:dyDescent="0.2">
      <c r="C83" s="3"/>
      <c r="F83" s="3"/>
      <c r="I83" s="3"/>
    </row>
    <row r="84" spans="3:9" x14ac:dyDescent="0.2">
      <c r="C84" s="3"/>
      <c r="F84" s="3"/>
      <c r="I84" s="3"/>
    </row>
    <row r="85" spans="3:9" x14ac:dyDescent="0.2">
      <c r="C85" s="3"/>
      <c r="F85" s="3"/>
      <c r="I85" s="3"/>
    </row>
    <row r="86" spans="3:9" x14ac:dyDescent="0.2">
      <c r="C86" s="3"/>
      <c r="F86" s="3"/>
      <c r="I86" s="3"/>
    </row>
    <row r="87" spans="3:9" x14ac:dyDescent="0.2">
      <c r="C87" s="3"/>
      <c r="F87" s="3"/>
      <c r="I87" s="3"/>
    </row>
    <row r="88" spans="3:9" x14ac:dyDescent="0.2">
      <c r="C88" s="3"/>
      <c r="F88" s="3"/>
      <c r="I88" s="3"/>
    </row>
    <row r="89" spans="3:9" x14ac:dyDescent="0.2">
      <c r="C89" s="3"/>
      <c r="F89" s="3"/>
      <c r="I89" s="3"/>
    </row>
    <row r="90" spans="3:9" x14ac:dyDescent="0.2">
      <c r="C90" s="3"/>
      <c r="F90" s="3"/>
      <c r="I90" s="3"/>
    </row>
    <row r="91" spans="3:9" x14ac:dyDescent="0.2">
      <c r="C91" s="3"/>
      <c r="F91" s="3"/>
      <c r="I91" s="3"/>
    </row>
    <row r="92" spans="3:9" x14ac:dyDescent="0.2">
      <c r="C92" s="3"/>
      <c r="F92" s="3"/>
      <c r="I92" s="3"/>
    </row>
    <row r="93" spans="3:9" x14ac:dyDescent="0.2">
      <c r="C93" s="3"/>
      <c r="F93" s="3"/>
      <c r="I93" s="3"/>
    </row>
    <row r="94" spans="3:9" x14ac:dyDescent="0.2">
      <c r="C94" s="3"/>
      <c r="F94" s="3"/>
      <c r="I94" s="3"/>
    </row>
    <row r="95" spans="3:9" x14ac:dyDescent="0.2">
      <c r="C95" s="3"/>
      <c r="F95" s="3"/>
      <c r="I95" s="3"/>
    </row>
    <row r="96" spans="3:9" x14ac:dyDescent="0.2">
      <c r="C96" s="3"/>
      <c r="F96" s="3"/>
      <c r="I96" s="3"/>
    </row>
    <row r="97" spans="3:9" x14ac:dyDescent="0.2">
      <c r="C97" s="3"/>
      <c r="F97" s="3"/>
      <c r="I97" s="3"/>
    </row>
    <row r="98" spans="3:9" x14ac:dyDescent="0.2">
      <c r="C98" s="3"/>
      <c r="F98" s="3"/>
      <c r="I98" s="3"/>
    </row>
    <row r="99" spans="3:9" x14ac:dyDescent="0.2">
      <c r="C99" s="3"/>
      <c r="F99" s="3"/>
      <c r="I99" s="3"/>
    </row>
    <row r="100" spans="3:9" x14ac:dyDescent="0.2">
      <c r="C100" s="3"/>
      <c r="F100" s="3"/>
      <c r="I100" s="3"/>
    </row>
    <row r="101" spans="3:9" x14ac:dyDescent="0.2">
      <c r="C101" s="3"/>
      <c r="F101" s="3"/>
      <c r="I101" s="3"/>
    </row>
    <row r="102" spans="3:9" x14ac:dyDescent="0.2">
      <c r="C102" s="3"/>
      <c r="F102" s="3"/>
      <c r="I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DuplicateTables">
                <anchor moveWithCells="1" sizeWithCells="1">
                  <from>
                    <xdr:col>4</xdr:col>
                    <xdr:colOff>0</xdr:colOff>
                    <xdr:row>1</xdr:row>
                    <xdr:rowOff>12700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8"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19</vt:i4>
      </vt:variant>
    </vt:vector>
  </HeadingPairs>
  <TitlesOfParts>
    <vt:vector size="24" baseType="lpstr">
      <vt:lpstr>Lists</vt:lpstr>
      <vt:lpstr>Set Up Sheet</vt:lpstr>
      <vt:lpstr>Transactions</vt:lpstr>
      <vt:lpstr>Summary</vt:lpstr>
      <vt:lpstr>June</vt:lpstr>
      <vt:lpstr>Base</vt:lpstr>
      <vt:lpstr>BaseSalary</vt:lpstr>
      <vt:lpstr>Bills</vt:lpstr>
      <vt:lpstr>Category</vt:lpstr>
      <vt:lpstr>CommitExp</vt:lpstr>
      <vt:lpstr>Debts</vt:lpstr>
      <vt:lpstr>Future</vt:lpstr>
      <vt:lpstr>inc</vt:lpstr>
      <vt:lpstr>income</vt:lpstr>
      <vt:lpstr>interestRate</vt:lpstr>
      <vt:lpstr>NetSalary</vt:lpstr>
      <vt:lpstr>NikePercentage</vt:lpstr>
      <vt:lpstr>Other</vt:lpstr>
      <vt:lpstr>rates</vt:lpstr>
      <vt:lpstr>SpaceshipPercentage</vt:lpstr>
      <vt:lpstr>StartBankBalance</vt:lpstr>
      <vt:lpstr>TaxPaid</vt:lpstr>
      <vt:lpstr>TaxSalary</vt:lpstr>
      <vt:lpstr>Transactions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Seletto</dc:creator>
  <cp:lastModifiedBy>Nicholas Seletto</cp:lastModifiedBy>
  <dcterms:created xsi:type="dcterms:W3CDTF">2021-06-09T04:26:43Z</dcterms:created>
  <dcterms:modified xsi:type="dcterms:W3CDTF">2021-11-04T05:04:23Z</dcterms:modified>
</cp:coreProperties>
</file>
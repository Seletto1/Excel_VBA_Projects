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ickseletto/Desktop/Stephanie/"/>
    </mc:Choice>
  </mc:AlternateContent>
  <xr:revisionPtr revIDLastSave="0" documentId="13_ncr:1_{8AE0E6AA-0269-1E45-9C3E-9950FC6572C6}" xr6:coauthVersionLast="47" xr6:coauthVersionMax="47" xr10:uidLastSave="{00000000-0000-0000-0000-000000000000}"/>
  <bookViews>
    <workbookView xWindow="0" yWindow="500" windowWidth="28800" windowHeight="17500" xr2:uid="{4CA9E453-F6B5-6140-A304-A9D2C19D6AA2}"/>
  </bookViews>
  <sheets>
    <sheet name="October" sheetId="5" r:id="rId1"/>
    <sheet name="INPUT SHEET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" i="5" l="1"/>
  <c r="H25" i="5"/>
  <c r="J6" i="5" s="1"/>
  <c r="G25" i="5"/>
  <c r="J5" i="5" s="1"/>
  <c r="F25" i="5"/>
  <c r="J4" i="5" s="1"/>
  <c r="O16" i="5"/>
  <c r="O15" i="5"/>
  <c r="O14" i="5"/>
  <c r="O13" i="5"/>
  <c r="O12" i="5"/>
  <c r="O11" i="5"/>
  <c r="O10" i="5"/>
  <c r="N16" i="5"/>
  <c r="N15" i="5"/>
  <c r="N14" i="5"/>
  <c r="N13" i="5"/>
  <c r="N12" i="5"/>
  <c r="N11" i="5"/>
  <c r="N10" i="5"/>
  <c r="M16" i="5"/>
  <c r="M15" i="5"/>
  <c r="M14" i="5"/>
  <c r="M13" i="5"/>
  <c r="M12" i="5"/>
  <c r="M11" i="5"/>
  <c r="M10" i="5"/>
  <c r="L16" i="5"/>
  <c r="L15" i="5"/>
  <c r="L14" i="5"/>
  <c r="L13" i="5"/>
  <c r="L12" i="5"/>
  <c r="L11" i="5"/>
  <c r="L10" i="5"/>
  <c r="J16" i="5"/>
  <c r="J15" i="5"/>
  <c r="J14" i="5"/>
  <c r="J13" i="5"/>
  <c r="J12" i="5"/>
  <c r="J11" i="5"/>
  <c r="J10" i="5"/>
  <c r="I16" i="5"/>
  <c r="I15" i="5"/>
  <c r="I14" i="5"/>
  <c r="I13" i="5"/>
  <c r="I12" i="5"/>
  <c r="I11" i="5"/>
  <c r="I10" i="5"/>
  <c r="H16" i="5"/>
  <c r="G16" i="5"/>
  <c r="K16" i="5"/>
  <c r="F16" i="5"/>
  <c r="K15" i="5"/>
  <c r="F15" i="5"/>
  <c r="K14" i="5"/>
  <c r="F14" i="5"/>
  <c r="K13" i="5"/>
  <c r="F13" i="5"/>
  <c r="K12" i="5"/>
  <c r="F12" i="5"/>
  <c r="K11" i="5"/>
  <c r="F11" i="5"/>
  <c r="K10" i="5"/>
  <c r="F10" i="5"/>
  <c r="E16" i="5"/>
  <c r="C25" i="5"/>
  <c r="D25" i="5"/>
  <c r="D24" i="5"/>
  <c r="D23" i="5"/>
  <c r="D22" i="5"/>
  <c r="D21" i="5"/>
  <c r="D20" i="5"/>
  <c r="D19" i="5"/>
  <c r="B21" i="2"/>
  <c r="M3" i="2" a="1"/>
  <c r="M3" i="2" s="1"/>
  <c r="M6" i="2" s="1"/>
  <c r="L3" i="2" a="1"/>
  <c r="L3" i="2" s="1"/>
  <c r="L6" i="2" s="1"/>
  <c r="K3" i="2" a="1"/>
  <c r="K3" i="2" s="1"/>
  <c r="K6" i="2" s="1"/>
  <c r="J3" i="2" a="1"/>
  <c r="J3" i="2" s="1"/>
  <c r="J6" i="2" s="1"/>
  <c r="I3" i="2" a="1"/>
  <c r="I3" i="2" s="1"/>
  <c r="I6" i="2" s="1"/>
  <c r="H3" i="2" a="1"/>
  <c r="H3" i="2" s="1"/>
  <c r="H6" i="2" s="1"/>
  <c r="G3" i="2" a="1"/>
  <c r="G3" i="2" s="1"/>
  <c r="G6" i="2" s="1"/>
  <c r="B9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Nicholas Seletto</author>
  </authors>
  <commentList>
    <comment ref="E9" authorId="0" shapeId="0" xr:uid="{E90210CE-13E1-6644-95B3-2E58FD71FEDA}">
      <text>
        <r>
          <rPr>
            <sz val="10"/>
            <color rgb="FF000000"/>
            <rFont val="Tahoma"/>
            <family val="2"/>
          </rPr>
          <t>Enter the forecast $ spent</t>
        </r>
      </text>
    </comment>
    <comment ref="G9" authorId="0" shapeId="0" xr:uid="{8F5D2F2A-81C9-BB44-B274-CEA6673C55EF}">
      <text>
        <r>
          <rPr>
            <sz val="10"/>
            <color rgb="FF000000"/>
            <rFont val="Tahoma"/>
            <family val="2"/>
          </rPr>
          <t>Enter the scheduled $ spent</t>
        </r>
      </text>
    </comment>
    <comment ref="H9" authorId="0" shapeId="0" xr:uid="{2C1CAEAD-B522-B84A-937A-698EFB2704BA}">
      <text>
        <r>
          <rPr>
            <sz val="10"/>
            <color rgb="FF000000"/>
            <rFont val="Tahoma"/>
            <family val="2"/>
          </rPr>
          <t>Enter the actual $ spent</t>
        </r>
      </text>
    </comment>
    <comment ref="F18" authorId="0" shapeId="0" xr:uid="{6B43A918-3FDD-A94C-BE3D-A711D712B2E3}">
      <text>
        <r>
          <rPr>
            <sz val="10"/>
            <color rgb="FF000000"/>
            <rFont val="Tahoma"/>
            <family val="2"/>
          </rPr>
          <t>Enter the actual hours earned</t>
        </r>
      </text>
    </comment>
    <comment ref="G18" authorId="0" shapeId="0" xr:uid="{4F9F9508-25D1-8445-9263-5B487A3FDCCA}">
      <text>
        <r>
          <rPr>
            <sz val="10"/>
            <color rgb="FF000000"/>
            <rFont val="Tahoma"/>
            <family val="2"/>
          </rPr>
          <t>Enter the scheduled hours</t>
        </r>
      </text>
    </comment>
    <comment ref="H18" authorId="0" shapeId="0" xr:uid="{CC3C9CF6-4D14-F64C-B5EE-A0BF0A6F26A2}">
      <text>
        <r>
          <rPr>
            <sz val="10"/>
            <color rgb="FF000000"/>
            <rFont val="Tahoma"/>
            <family val="2"/>
          </rPr>
          <t>Enter the actual hours spent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<sst xmlns="http://schemas.openxmlformats.org/spreadsheetml/2006/main" count="117" uniqueCount="73">
  <si>
    <t>start date</t>
  </si>
  <si>
    <t>end date</t>
  </si>
  <si>
    <t>Wages</t>
  </si>
  <si>
    <t>Amounts</t>
  </si>
  <si>
    <t>weeks</t>
  </si>
  <si>
    <t>Thursday</t>
  </si>
  <si>
    <t>Monday</t>
  </si>
  <si>
    <t>Tuesday</t>
  </si>
  <si>
    <t>Wednesday</t>
  </si>
  <si>
    <t>Friday</t>
  </si>
  <si>
    <t>Saturday</t>
  </si>
  <si>
    <t>Sunday</t>
  </si>
  <si>
    <t>Month</t>
  </si>
  <si>
    <t>STAFF/HOUR BREAK DOWN</t>
  </si>
  <si>
    <t>DATES OF EACH WEEK</t>
  </si>
  <si>
    <t>Week 1</t>
  </si>
  <si>
    <t>Week 2</t>
  </si>
  <si>
    <t>Week 3</t>
  </si>
  <si>
    <t>Week 4</t>
  </si>
  <si>
    <t>Week 5</t>
  </si>
  <si>
    <t>range</t>
  </si>
  <si>
    <t>Sun - Sat</t>
  </si>
  <si>
    <t>Wage Budget</t>
  </si>
  <si>
    <t>Annual Leave Provision</t>
  </si>
  <si>
    <t>Actual Forecast</t>
  </si>
  <si>
    <t>Target Per Week</t>
  </si>
  <si>
    <t>Start Date</t>
  </si>
  <si>
    <t>End Date</t>
  </si>
  <si>
    <t>Step 1: Fill in all of the green cells</t>
  </si>
  <si>
    <t>Step 2: Click the "FIRST" button</t>
  </si>
  <si>
    <t>Step 3: Fill in target % per week</t>
  </si>
  <si>
    <t>Step 4: Click the "SECOND" button</t>
  </si>
  <si>
    <t>*** NOTE: Make sure that a sheet from the same month doesn't already exist ***</t>
  </si>
  <si>
    <t>Monthly Target</t>
  </si>
  <si>
    <t>Dates</t>
  </si>
  <si>
    <t>At the start of a new month click "RESET" button</t>
  </si>
  <si>
    <t>Week 6</t>
  </si>
  <si>
    <t>Total</t>
  </si>
  <si>
    <t>WAGES $</t>
  </si>
  <si>
    <t>HOURS</t>
  </si>
  <si>
    <t>EVENTS</t>
  </si>
  <si>
    <t>WAGE BUDGET</t>
  </si>
  <si>
    <t>ANNUAL LEAVE PROVISION</t>
  </si>
  <si>
    <t>ACTUAL FORECAST</t>
  </si>
  <si>
    <t>HOURS FORECAST</t>
  </si>
  <si>
    <t>HOURS SCHEDULED</t>
  </si>
  <si>
    <t>HOURS SPENT</t>
  </si>
  <si>
    <t>DATE RANGE</t>
  </si>
  <si>
    <t>PER WEEK</t>
  </si>
  <si>
    <t>ACCUMULATED PER MONTH</t>
  </si>
  <si>
    <t>NOTES</t>
  </si>
  <si>
    <t>WEEK</t>
  </si>
  <si>
    <t>DAYS</t>
  </si>
  <si>
    <t>FORECAST</t>
  </si>
  <si>
    <t>TARGET</t>
  </si>
  <si>
    <t>SCHEDULED</t>
  </si>
  <si>
    <t>SPENT</t>
  </si>
  <si>
    <t>TARGET vs. SCHEDULED</t>
  </si>
  <si>
    <t>TARGET vs. SPENT</t>
  </si>
  <si>
    <t>COMMENTS, OBSERVATIONS, THINGS TO REMEMBER</t>
  </si>
  <si>
    <t>TOTAL</t>
  </si>
  <si>
    <t>TARGET PER WEEK</t>
  </si>
  <si>
    <t>EARNED</t>
  </si>
  <si>
    <t>October</t>
  </si>
  <si>
    <t>Fri - Sat</t>
  </si>
  <si>
    <t>Sun</t>
  </si>
  <si>
    <t>WAGE TRACKER - October</t>
  </si>
  <si>
    <t>1/10-2/10</t>
  </si>
  <si>
    <t>3/10-9/10</t>
  </si>
  <si>
    <t>10/10-16/10</t>
  </si>
  <si>
    <t>17/10-23/10</t>
  </si>
  <si>
    <t>24/10-30/10</t>
  </si>
  <si>
    <t>31/10-31/10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</si>
</sst>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0.0%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6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0"/>
      <color rgb="FF000000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84D050"/>
        <bgColor indexed="64"/>
      </patternFill>
    </fill>
    <fill>
      <patternFill patternType="solid">
        <fgColor rgb="FFCECECE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E8A0FA"/>
        <bgColor indexed="64"/>
      </patternFill>
    </fill>
    <fill>
      <patternFill patternType="solid">
        <fgColor rgb="FFBBFF91"/>
        <bgColor indexed="64"/>
      </patternFill>
    </fill>
    <fill>
      <patternFill patternType="solid">
        <fgColor rgb="FFFFC88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BD7F0"/>
        <bgColor indexed="64"/>
      </patternFill>
    </fill>
    <fill>
      <patternFill patternType="solid">
        <fgColor rgb="FFFF98EC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Border="1"/>
    <xf numFmtId="0" fontId="0" fillId="0" borderId="0" xfId="0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</xf>
    <xf numFmtId="14" fontId="0" fillId="3" borderId="0" xfId="0" applyNumberFormat="1" applyFill="1" applyAlignment="1" applyProtection="1">
      <alignment horizontal="center" vertical="center"/>
    </xf>
    <xf numFmtId="14" fontId="0" fillId="3" borderId="0" xfId="0" applyNumberFormat="1" applyFill="1" applyBorder="1" applyAlignment="1" applyProtection="1">
      <alignment horizontal="center" vertical="center"/>
    </xf>
    <xf numFmtId="44" fontId="0" fillId="3" borderId="0" xfId="0" applyNumberFormat="1" applyFill="1" applyBorder="1" applyAlignment="1" applyProtection="1">
      <alignment horizontal="center" vertical="center"/>
    </xf>
    <xf numFmtId="9" fontId="0" fillId="5" borderId="0" xfId="0" applyNumberFormat="1" applyFill="1" applyBorder="1" applyAlignment="1" applyProtection="1">
      <alignment horizontal="right" vertical="center"/>
    </xf>
    <xf numFmtId="44" fontId="0" fillId="2" borderId="0" xfId="1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  <xf numFmtId="0" fontId="0" fillId="0" borderId="0" xfId="0" applyProtection="1"/>
    <xf numFmtId="0" fontId="0" fillId="0" borderId="0" xfId="0" applyBorder="1" applyProtection="1"/>
    <xf numFmtId="0" fontId="0" fillId="0" borderId="0" xfId="0" applyFill="1" applyBorder="1" applyAlignment="1" applyProtection="1">
      <alignment horizontal="center"/>
    </xf>
    <xf numFmtId="0" fontId="0" fillId="2" borderId="0" xfId="0" applyFill="1" applyBorder="1" applyProtection="1"/>
    <xf numFmtId="0" fontId="0" fillId="0" borderId="0" xfId="0" applyFill="1" applyBorder="1" applyProtection="1"/>
    <xf numFmtId="14" fontId="0" fillId="0" borderId="0" xfId="0" applyNumberFormat="1" applyFill="1" applyBorder="1" applyProtection="1"/>
    <xf numFmtId="0" fontId="0" fillId="4" borderId="0" xfId="0" applyFill="1" applyBorder="1" applyProtection="1"/>
    <xf numFmtId="14" fontId="0" fillId="0" borderId="0" xfId="0" applyNumberFormat="1" applyFill="1" applyBorder="1" applyAlignment="1" applyProtection="1">
      <alignment horizontal="left" vertical="center"/>
    </xf>
    <xf numFmtId="0" fontId="0" fillId="0" borderId="0" xfId="0" applyBorder="1" applyAlignment="1" applyProtection="1">
      <alignment horizontal="left" vertical="center"/>
    </xf>
    <xf numFmtId="0" fontId="0" fillId="2" borderId="0" xfId="0" applyFill="1" applyBorder="1" applyAlignment="1" applyProtection="1"/>
    <xf numFmtId="14" fontId="0" fillId="2" borderId="0" xfId="0" applyNumberFormat="1" applyFill="1" applyBorder="1" applyProtection="1"/>
    <xf numFmtId="164" fontId="0" fillId="2" borderId="0" xfId="2" applyNumberFormat="1" applyFont="1" applyFill="1" applyBorder="1" applyProtection="1"/>
    <xf numFmtId="44" fontId="0" fillId="2" borderId="0" xfId="0" applyNumberFormat="1" applyFill="1" applyBorder="1" applyProtection="1"/>
    <xf numFmtId="0" fontId="0" fillId="0" borderId="0" xfId="0" applyFill="1" applyBorder="1" applyAlignment="1" applyProtection="1"/>
    <xf numFmtId="9" fontId="0" fillId="0" borderId="0" xfId="2" applyFont="1" applyFill="1" applyBorder="1" applyProtection="1"/>
    <xf numFmtId="14" fontId="0" fillId="0" borderId="0" xfId="0" applyNumberFormat="1" applyBorder="1" applyProtection="1"/>
    <xf numFmtId="14" fontId="0" fillId="0" borderId="0" xfId="0" applyNumberFormat="1" applyFill="1" applyBorder="1" applyAlignment="1" applyProtection="1">
      <alignment horizontal="center" vertical="center"/>
    </xf>
    <xf numFmtId="44" fontId="0" fillId="0" borderId="0" xfId="0" applyNumberFormat="1" applyFill="1" applyBorder="1" applyAlignment="1" applyProtection="1">
      <alignment horizontal="center" vertical="center"/>
    </xf>
    <xf numFmtId="44" fontId="0" fillId="0" borderId="0" xfId="1" applyFont="1" applyFill="1" applyBorder="1" applyAlignment="1" applyProtection="1">
      <alignment horizontal="center" vertical="center"/>
    </xf>
    <xf numFmtId="9" fontId="0" fillId="0" borderId="0" xfId="0" applyNumberForma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10" fontId="0" fillId="5" borderId="0" xfId="0" applyNumberFormat="1" applyFill="1"/>
    <xf numFmtId="10" fontId="0" fillId="0" borderId="0" xfId="0" applyNumberForma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44" fontId="0" fillId="8" borderId="1" xfId="0" applyNumberFormat="1" applyFill="1" applyBorder="1" applyAlignment="1">
      <alignment horizontal="center" vertical="center"/>
    </xf>
    <xf numFmtId="44" fontId="0" fillId="9" borderId="1" xfId="0" applyNumberFormat="1" applyFill="1" applyBorder="1" applyAlignment="1">
      <alignment horizontal="center" vertical="center"/>
    </xf>
    <xf numFmtId="44" fontId="0" fillId="10" borderId="1" xfId="0" applyNumberFormat="1" applyFill="1" applyBorder="1" applyAlignment="1">
      <alignment horizontal="center" vertical="center"/>
    </xf>
    <xf numFmtId="44" fontId="0" fillId="11" borderId="1" xfId="0" applyNumberFormat="1" applyFill="1" applyBorder="1" applyAlignment="1">
      <alignment horizontal="center" vertical="center"/>
    </xf>
    <xf numFmtId="44" fontId="0" fillId="0" borderId="1" xfId="0" applyNumberFormat="1" applyBorder="1" applyAlignment="1">
      <alignment horizontal="center" vertical="center"/>
    </xf>
    <xf numFmtId="44" fontId="0" fillId="7" borderId="1" xfId="0" applyNumberForma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4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7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3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16" borderId="1" xfId="0" applyFont="1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horizontal="center" vertical="center"/>
    </xf>
  </cellXfs>
  <cellStyles count="3">
    <cellStyle name="Currency" xfId="1" builtinId="4"/>
    <cellStyle name="Normal" xfId="0" builtinId="0"/>
    <cellStyle name="Per cent" xfId="2" builtinId="5"/>
  </cellStyles>
  <dxfs count="12">
    <dxf>
      <font>
        <color rgb="FF901D18"/>
      </font>
      <fill>
        <patternFill>
          <bgColor rgb="FFF0C4CA"/>
        </patternFill>
      </fill>
    </dxf>
    <dxf>
      <font>
        <color rgb="FF296116"/>
      </font>
      <fill>
        <patternFill>
          <bgColor rgb="FFC6E4C9"/>
        </patternFill>
      </fill>
    </dxf>
    <dxf>
      <font>
        <color rgb="FFCECECE"/>
      </font>
    </dxf>
    <dxf>
      <font>
        <color rgb="FF901D18"/>
      </font>
      <fill>
        <patternFill>
          <bgColor rgb="FFF0C4CA"/>
        </patternFill>
      </fill>
    </dxf>
    <dxf>
      <font>
        <color rgb="FF296116"/>
      </font>
      <fill>
        <patternFill>
          <bgColor rgb="FFC6E4C9"/>
        </patternFill>
      </fill>
    </dxf>
    <dxf>
      <font>
        <color rgb="FFCECECE"/>
      </font>
    </dxf>
    <dxf>
      <font>
        <color rgb="FF901D18"/>
      </font>
      <fill>
        <patternFill>
          <bgColor rgb="FFF0C4CA"/>
        </patternFill>
      </fill>
    </dxf>
    <dxf>
      <font>
        <color rgb="FF296116"/>
      </font>
      <fill>
        <patternFill>
          <bgColor rgb="FFC6E4C9"/>
        </patternFill>
      </fill>
    </dxf>
    <dxf>
      <font>
        <color rgb="FFFFFFFF"/>
      </font>
    </dxf>
    <dxf>
      <font>
        <color rgb="FF901D18"/>
      </font>
      <fill>
        <patternFill>
          <bgColor rgb="FFF0C4CA"/>
        </patternFill>
      </fill>
    </dxf>
    <dxf>
      <font>
        <color rgb="FF296116"/>
      </font>
      <fill>
        <patternFill>
          <bgColor rgb="FFC6E4C9"/>
        </patternFill>
      </fill>
    </dxf>
    <dxf>
      <font>
        <color rgb="FFFFFFFF"/>
      </font>
    </dxf>
  </dxfs>
  <tableStyles count="0" defaultTableStyle="TableStyleMedium2" defaultPivotStyle="PivotStyleLight16"/>
  <colors>
    <mruColors>
      <color rgb="FFFF98EC"/>
      <color rgb="FFFF43EC"/>
      <color rgb="FFBBFF91"/>
      <color rgb="FFFFFFFF"/>
      <color rgb="FFC6EFCF"/>
      <color rgb="FF016002"/>
      <color rgb="FF9CD7EE"/>
      <color rgb="FFA2DDED"/>
      <color rgb="FFFFC887"/>
      <color rgb="FFFEC78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HOURS PER WEEK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October!$F$18</c:f>
              <c:strCache>
                <c:ptCount val="1"/>
                <c:pt idx="0">
                  <c:v>FORECAST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Ref>
              <c:f>October!$B$19:$B$24</c:f>
              <c:strCache>
                <c:ptCount val="6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</c:strCache>
            </c:strRef>
          </c:cat>
          <c:val>
            <c:numRef>
              <c:f>October!$F$19:$F$24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BF5E-7E4D-9EFE-89EF5BF77A2E}"/>
            </c:ext>
          </c:extLst>
        </c:ser>
        <c:ser>
          <c:idx val="1"/>
          <c:order val="1"/>
          <c:tx>
            <c:strRef>
              <c:f>October!$G$18</c:f>
              <c:strCache>
                <c:ptCount val="1"/>
                <c:pt idx="0">
                  <c:v>SCHEDULED</c:v>
                </c:pt>
              </c:strCache>
            </c:strRef>
          </c:tx>
          <c:spPr>
            <a:solidFill>
              <a:srgbClr val="84D050"/>
            </a:solidFill>
          </c:spPr>
          <c:invertIfNegative val="0"/>
          <c:cat>
            <c:strRef>
              <c:f>October!$B$19:$B$24</c:f>
              <c:strCache>
                <c:ptCount val="6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</c:strCache>
            </c:strRef>
          </c:cat>
          <c:val>
            <c:numRef>
              <c:f>October!$G$19:$G$24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BF5E-7E4D-9EFE-89EF5BF77A2E}"/>
            </c:ext>
          </c:extLst>
        </c:ser>
        <c:ser>
          <c:idx val="2"/>
          <c:order val="2"/>
          <c:tx>
            <c:strRef>
              <c:f>October!$H$18</c:f>
              <c:strCache>
                <c:ptCount val="1"/>
                <c:pt idx="0">
                  <c:v>SPENT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October!$B$19:$B$24</c:f>
              <c:strCache>
                <c:ptCount val="6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</c:strCache>
            </c:strRef>
          </c:cat>
          <c:val>
            <c:numRef>
              <c:f>October!$H$19:$H$24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BF5E-7E4D-9EFE-89EF5BF77A2E}"/>
            </c:ext>
          </c:extLst>
        </c:ser>
        <c:ser>
          <c:idx val="3"/>
          <c:order val="3"/>
          <c:tx>
            <c:strRef>
              <c:f>October!$I$18</c:f>
              <c:strCache>
                <c:ptCount val="1"/>
                <c:pt idx="0">
                  <c:v>EARNED</c:v>
                </c:pt>
              </c:strCache>
            </c:strRef>
          </c:tx>
          <c:spPr>
            <a:solidFill>
              <a:srgbClr val="00B0F0"/>
            </a:solidFill>
          </c:spPr>
          <c:invertIfNegative val="0"/>
          <c:cat>
            <c:strRef>
              <c:f>October!$B$19:$B$24</c:f>
              <c:strCache>
                <c:ptCount val="6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</c:strCache>
            </c:strRef>
          </c:cat>
          <c:val>
            <c:numRef>
              <c:f>October!$I$19:$I$24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3-BF5E-7E4D-9EFE-89EF5BF77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90594000"/>
        <c:axId val="1490510288"/>
      </c:barChart>
      <c:catAx>
        <c:axId val="1490594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90510288"/>
        <c:crosses val="autoZero"/>
        <c:auto val="1"/>
        <c:lblAlgn val="ctr"/>
        <c:lblOffset val="100"/>
        <c:noMultiLvlLbl val="0"/>
      </c:catAx>
      <c:valAx>
        <c:axId val="1490510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490594000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WAGES PER WEEK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October!$E$9</c:f>
              <c:strCache>
                <c:ptCount val="1"/>
                <c:pt idx="0">
                  <c:v>FORECAST</c:v>
                </c:pt>
              </c:strCache>
            </c:strRef>
          </c:tx>
          <c:spPr>
            <a:solidFill>
              <a:srgbClr val="FFFF00"/>
            </a:solidFill>
          </c:spPr>
          <c:invertIfNegative val="0"/>
          <c:cat>
            <c:strRef>
              <c:f>October!$B$10:$B$15</c:f>
              <c:strCache>
                <c:ptCount val="6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</c:strCache>
            </c:strRef>
          </c:cat>
          <c:val>
            <c:numRef>
              <c:f>October!$E$10:$E$15</c:f>
              <c:numCache>
                <c:formatCode>_("$"* #,##0.00_);_("$"* \(#,##0.00\);_("$"* "-"??_);_(@_)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658D-FE4D-9297-DF63D2EB96D2}"/>
            </c:ext>
          </c:extLst>
        </c:ser>
        <c:ser>
          <c:idx val="1"/>
          <c:order val="1"/>
          <c:tx>
            <c:strRef>
              <c:f>October!$F$9</c:f>
              <c:strCache>
                <c:ptCount val="1"/>
                <c:pt idx="0">
                  <c:v>TARGET</c:v>
                </c:pt>
              </c:strCache>
            </c:strRef>
          </c:tx>
          <c:spPr>
            <a:solidFill>
              <a:srgbClr val="E8A0FA"/>
            </a:solidFill>
          </c:spPr>
          <c:invertIfNegative val="0"/>
          <c:cat>
            <c:strRef>
              <c:f>October!$B$10:$B$15</c:f>
              <c:strCache>
                <c:ptCount val="6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</c:strCache>
            </c:strRef>
          </c:cat>
          <c:val>
            <c:numRef>
              <c:f>October!$F$10:$F$15</c:f>
              <c:numCache>
                <c:formatCode>_("$"* #,##0.00_);_("$"* \(#,##0.00\);_("$"* "-"??_);_(@_)</c:formatCode>
                <c:ptCount val="6"/>
                <c:pt idx="0">
                  <c:v>34687.5</c:v>
                </c:pt>
                <c:pt idx="1">
                  <c:v>41625</c:v>
                </c:pt>
                <c:pt idx="2">
                  <c:v>50875</c:v>
                </c:pt>
                <c:pt idx="3">
                  <c:v>41625</c:v>
                </c:pt>
                <c:pt idx="4">
                  <c:v>46250</c:v>
                </c:pt>
                <c:pt idx="5">
                  <c:v>16187.500000000002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8D-FE4D-9297-DF63D2EB96D2}"/>
            </c:ext>
          </c:extLst>
        </c:ser>
        <c:ser>
          <c:idx val="2"/>
          <c:order val="2"/>
          <c:tx>
            <c:strRef>
              <c:f>October!$G$9</c:f>
              <c:strCache>
                <c:ptCount val="1"/>
                <c:pt idx="0">
                  <c:v>SCHEDULED</c:v>
                </c:pt>
              </c:strCache>
            </c:strRef>
          </c:tx>
          <c:spPr>
            <a:solidFill>
              <a:srgbClr val="84D050"/>
            </a:solidFill>
          </c:spPr>
          <c:invertIfNegative val="0"/>
          <c:cat>
            <c:strRef>
              <c:f>October!$B$10:$B$15</c:f>
              <c:strCache>
                <c:ptCount val="6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</c:strCache>
            </c:strRef>
          </c:cat>
          <c:val>
            <c:numRef>
              <c:f>October!$G$10:$G$15</c:f>
              <c:numCache>
                <c:formatCode>_("$"* #,##0.00_);_("$"* \(#,##0.00\);_("$"* "-"??_);_(@_)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2-658D-FE4D-9297-DF63D2EB96D2}"/>
            </c:ext>
          </c:extLst>
        </c:ser>
        <c:ser>
          <c:idx val="3"/>
          <c:order val="3"/>
          <c:tx>
            <c:strRef>
              <c:f>October!$H$9</c:f>
              <c:strCache>
                <c:ptCount val="1"/>
                <c:pt idx="0">
                  <c:v>SPENT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strRef>
              <c:f>October!$B$10:$B$15</c:f>
              <c:strCache>
                <c:ptCount val="6"/>
                <c:pt idx="0">
                  <c:v>Week 1</c:v>
                </c:pt>
                <c:pt idx="1">
                  <c:v>Week 2</c:v>
                </c:pt>
                <c:pt idx="2">
                  <c:v>Week 3</c:v>
                </c:pt>
                <c:pt idx="3">
                  <c:v>Week 4</c:v>
                </c:pt>
                <c:pt idx="4">
                  <c:v>Week 5</c:v>
                </c:pt>
                <c:pt idx="5">
                  <c:v>Week 6</c:v>
                </c:pt>
              </c:strCache>
            </c:strRef>
          </c:cat>
          <c:val>
            <c:numRef>
              <c:f>October!$H$10:$H$15</c:f>
              <c:numCache>
                <c:formatCode>_("$"* #,##0.00_);_("$"* \(#,##0.00\);_("$"* "-"??_);_(@_)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3-658D-FE4D-9297-DF63D2EB9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07948512"/>
        <c:axId val="1507950160"/>
      </c:barChart>
      <c:catAx>
        <c:axId val="1507948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07950160"/>
        <c:crosses val="autoZero"/>
        <c:auto val="1"/>
        <c:lblAlgn val="ctr"/>
        <c:lblOffset val="100"/>
        <c:noMultiLvlLbl val="0"/>
      </c:catAx>
      <c:valAx>
        <c:axId val="1507950160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150794851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17</xdr:row>
      <xdr:rowOff>0</xdr:rowOff>
    </xdr:from>
    <xdr:to>
      <xdr:col>14</xdr:col>
      <xdr:colOff>711200</xdr:colOff>
      <xdr:row>29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2A6D0F-2C76-D94E-9EC9-5F498EE006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17</xdr:row>
      <xdr:rowOff>0</xdr:rowOff>
    </xdr:from>
    <xdr:to>
      <xdr:col>20</xdr:col>
      <xdr:colOff>0</xdr:colOff>
      <xdr:row>29</xdr:row>
      <xdr:rowOff>190500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781102C-84E4-9043-B138-6020FDED8A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</xdr:row>
          <xdr:rowOff>12700</xdr:rowOff>
        </xdr:from>
        <xdr:to>
          <xdr:col>2</xdr:col>
          <xdr:colOff>0</xdr:colOff>
          <xdr:row>12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sng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FIRST</a:t>
              </a:r>
            </a:p>
            <a:p>
              <a:pPr algn="ctr" rtl="0">
                <a:defRPr sz="1000"/>
              </a:pPr>
              <a:endParaRPr lang="en-GB" sz="1600" b="1" i="0" u="sng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22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sng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SECOND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2</xdr:row>
          <xdr:rowOff>12700</xdr:rowOff>
        </xdr:from>
        <xdr:to>
          <xdr:col>3</xdr:col>
          <xdr:colOff>3162300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sng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1CFE3-BA67-9A46-B2F2-88965BB6EEC3}">
  <dimension ref="A1:BB200"/>
  <sheetViews>
    <sheetView tabSelected="1" topLeftCell="B1" zoomScale="75" workbookViewId="0">
      <selection activeCell="P18" sqref="P18"/>
    </sheetView>
  </sheetViews>
  <sheetFormatPr baseColWidth="10" defaultRowHeight="16" x14ac:dyDescent="0.2"/>
  <cols>
    <col min="1" max="1" width="0" hidden="1" customWidth="1"/>
    <col min="2" max="8" width="15" customWidth="1"/>
    <col min="9" max="9" width="20.83203125" customWidth="1"/>
    <col min="10" max="10" width="16.5" customWidth="1"/>
    <col min="11" max="13" width="15" customWidth="1"/>
    <col min="14" max="14" width="20.83203125" customWidth="1"/>
    <col min="15" max="15" width="16.5" customWidth="1"/>
    <col min="16" max="20" width="15" customWidth="1"/>
  </cols>
  <sheetData>
    <row r="1" spans="1:54" ht="25" customHeight="1" thickBot="1" x14ac:dyDescent="0.25">
      <c r="A1" s="34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  <c r="T1" s="34"/>
      <c r="U1" s="34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</row>
    <row r="2" spans="1:54" ht="25" customHeight="1" thickTop="1" thickBot="1" x14ac:dyDescent="0.25">
      <c r="A2" s="34"/>
      <c r="B2" s="60" t="s">
        <v>66</v>
      </c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2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</row>
    <row r="3" spans="1:54" ht="25" customHeight="1" thickTop="1" x14ac:dyDescent="0.2">
      <c r="A3" s="34"/>
      <c r="B3" s="63" t="s">
        <v>38</v>
      </c>
      <c r="C3" s="64"/>
      <c r="D3" s="64"/>
      <c r="E3" s="64"/>
      <c r="F3" s="64"/>
      <c r="G3" s="63" t="s">
        <v>39</v>
      </c>
      <c r="H3" s="64"/>
      <c r="I3" s="64"/>
      <c r="J3" s="64"/>
      <c r="K3" s="64"/>
      <c r="L3" s="64"/>
      <c r="M3" s="63" t="s">
        <v>40</v>
      </c>
      <c r="N3" s="64"/>
      <c r="O3" s="64"/>
      <c r="P3" s="64"/>
      <c r="Q3" s="63" t="s">
        <v>40</v>
      </c>
      <c r="R3" s="56"/>
      <c r="S3" s="56"/>
      <c r="T3" s="56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34"/>
      <c r="BA3" s="34"/>
      <c r="BB3" s="34"/>
    </row>
    <row r="4" spans="1:54" ht="25" customHeight="1" x14ac:dyDescent="0.2">
      <c r="A4" s="34"/>
      <c r="B4" s="56" t="s">
        <v>41</v>
      </c>
      <c r="C4" s="56"/>
      <c r="D4" s="56"/>
      <c r="E4" s="55">
        <v>250000</v>
      </c>
      <c r="F4" s="57"/>
      <c r="G4" s="56" t="s">
        <v>44</v>
      </c>
      <c r="H4" s="56"/>
      <c r="I4" s="56"/>
      <c r="J4" s="56" t="str">
        <f>IF(F25="","",F25)</f>
        <v/>
      </c>
      <c r="K4" s="56"/>
      <c r="L4" s="56"/>
      <c r="M4" s="56"/>
      <c r="N4" s="56"/>
      <c r="O4" s="56"/>
      <c r="P4" s="56"/>
      <c r="Q4" s="56"/>
      <c r="R4" s="56"/>
      <c r="S4" s="56"/>
      <c r="T4" s="56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</row>
    <row r="5" spans="1:54" ht="25" customHeight="1" x14ac:dyDescent="0.2">
      <c r="A5" s="34"/>
      <c r="B5" s="56" t="s">
        <v>42</v>
      </c>
      <c r="C5" s="56"/>
      <c r="D5" s="56"/>
      <c r="E5" s="58">
        <v>7.4999999999999997E-2</v>
      </c>
      <c r="F5" s="59"/>
      <c r="G5" s="56" t="s">
        <v>45</v>
      </c>
      <c r="H5" s="56"/>
      <c r="I5" s="56"/>
      <c r="J5" s="56" t="str">
        <f>IF(G25="","",G25)</f>
        <v/>
      </c>
      <c r="K5" s="56"/>
      <c r="L5" s="56"/>
      <c r="M5" s="56"/>
      <c r="N5" s="56"/>
      <c r="O5" s="56"/>
      <c r="P5" s="56"/>
      <c r="Q5" s="56"/>
      <c r="R5" s="56"/>
      <c r="S5" s="56"/>
      <c r="T5" s="56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34"/>
      <c r="BA5" s="34"/>
      <c r="BB5" s="34"/>
    </row>
    <row r="6" spans="1:54" ht="25" customHeight="1" x14ac:dyDescent="0.2">
      <c r="A6" s="34"/>
      <c r="B6" s="56" t="s">
        <v>43</v>
      </c>
      <c r="C6" s="56"/>
      <c r="D6" s="56"/>
      <c r="E6" s="55">
        <v>231250</v>
      </c>
      <c r="F6" s="57"/>
      <c r="G6" s="56" t="s">
        <v>46</v>
      </c>
      <c r="H6" s="56"/>
      <c r="I6" s="56"/>
      <c r="J6" s="56" t="str">
        <f>IF(H25="","",H25)</f>
        <v/>
      </c>
      <c r="K6" s="56"/>
      <c r="L6" s="56"/>
      <c r="M6" s="56"/>
      <c r="N6" s="56"/>
      <c r="O6" s="56"/>
      <c r="P6" s="56"/>
      <c r="Q6" s="56"/>
      <c r="R6" s="56"/>
      <c r="S6" s="56"/>
      <c r="T6" s="56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34"/>
      <c r="BA6" s="34"/>
      <c r="BB6" s="34"/>
    </row>
    <row r="7" spans="1:54" ht="25" customHeight="1" x14ac:dyDescent="0.2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</row>
    <row r="8" spans="1:54" ht="25" customHeight="1" x14ac:dyDescent="0.2">
      <c r="A8" s="34"/>
      <c r="B8" s="63" t="s">
        <v>47</v>
      </c>
      <c r="C8" s="64"/>
      <c r="D8" s="64"/>
      <c r="E8" s="63" t="s">
        <v>48</v>
      </c>
      <c r="F8" s="64"/>
      <c r="G8" s="64"/>
      <c r="H8" s="64"/>
      <c r="I8" s="64"/>
      <c r="J8" s="63" t="s">
        <v>49</v>
      </c>
      <c r="K8" s="64"/>
      <c r="L8" s="64"/>
      <c r="M8" s="64"/>
      <c r="N8" s="64"/>
      <c r="O8" s="64"/>
      <c r="P8" s="63" t="s">
        <v>50</v>
      </c>
      <c r="Q8" s="56"/>
      <c r="R8" s="56"/>
      <c r="S8" s="56"/>
      <c r="T8" s="56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</row>
    <row r="9" spans="1:54" ht="25" customHeight="1" x14ac:dyDescent="0.2">
      <c r="A9" s="34"/>
      <c r="B9" s="35" t="s">
        <v>51</v>
      </c>
      <c r="C9" s="35" t="s">
        <v>47</v>
      </c>
      <c r="D9" s="35" t="s">
        <v>52</v>
      </c>
      <c r="E9" s="35" t="s">
        <v>53</v>
      </c>
      <c r="F9" s="35" t="s">
        <v>54</v>
      </c>
      <c r="G9" s="35" t="s">
        <v>55</v>
      </c>
      <c r="H9" s="35" t="s">
        <v>56</v>
      </c>
      <c r="I9" s="35" t="s">
        <v>57</v>
      </c>
      <c r="J9" s="35" t="s">
        <v>58</v>
      </c>
      <c r="K9" s="35" t="s">
        <v>54</v>
      </c>
      <c r="L9" s="35" t="s">
        <v>55</v>
      </c>
      <c r="M9" s="35" t="s">
        <v>56</v>
      </c>
      <c r="N9" s="35" t="s">
        <v>57</v>
      </c>
      <c r="O9" s="35" t="s">
        <v>58</v>
      </c>
      <c r="P9" s="56" t="s">
        <v>59</v>
      </c>
      <c r="Q9" s="56"/>
      <c r="R9" s="56"/>
      <c r="S9" s="56"/>
      <c r="T9" s="56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</row>
    <row r="10" spans="1:54" ht="25" customHeight="1" x14ac:dyDescent="0.2">
      <c r="A10" s="34"/>
      <c r="B10" s="35" t="s">
        <v>15</v>
      </c>
      <c r="C10" s="35" t="s">
        <v>67</v>
      </c>
      <c r="D10" s="35" t="s">
        <v>64</v>
      </c>
      <c r="E10" s="45"/>
      <c r="F10" s="46">
        <f>D19</f>
        <v>34687.5</v>
      </c>
      <c r="G10" s="47"/>
      <c r="H10" s="48"/>
      <c r="I10" s="49" t="str">
        <f>IF(G10="","+",F10-G10)</f>
        <v>+</v>
      </c>
      <c r="J10" s="49" t="str">
        <f>IF(H10="","+",F10-H10)</f>
        <v>+</v>
      </c>
      <c r="K10" s="49">
        <f>F10</f>
        <v>34687.5</v>
      </c>
      <c r="L10" s="49" t="str">
        <f>IF(G10="","",IF(L9="SCHEDULED",G10,L9+G10))</f>
        <v/>
      </c>
      <c r="M10" s="49" t="str">
        <f>IF(H10="","",IF(M9="SPENT",H10,M9+H10))</f>
        <v/>
      </c>
      <c r="N10" s="49" t="str">
        <f>IF(L10="","+",K10-L10)</f>
        <v>+</v>
      </c>
      <c r="O10" s="49" t="str">
        <f>IF(M10="","+",K10-M10)</f>
        <v>+</v>
      </c>
      <c r="P10" s="56"/>
      <c r="Q10" s="56"/>
      <c r="R10" s="56"/>
      <c r="S10" s="56"/>
      <c r="T10" s="56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</row>
    <row r="11" spans="1:54" ht="25" customHeight="1" x14ac:dyDescent="0.2">
      <c r="A11" s="34"/>
      <c r="B11" s="35" t="s">
        <v>16</v>
      </c>
      <c r="C11" s="35" t="s">
        <v>68</v>
      </c>
      <c r="D11" s="35" t="s">
        <v>21</v>
      </c>
      <c r="E11" s="45"/>
      <c r="F11" s="46">
        <f>D20</f>
        <v>41625</v>
      </c>
      <c r="G11" s="47"/>
      <c r="H11" s="48"/>
      <c r="I11" s="49" t="str">
        <f>IF(G11="","+",F11-G11)</f>
        <v>+</v>
      </c>
      <c r="J11" s="49" t="str">
        <f>IF(H11="","+",F11-H11)</f>
        <v>+</v>
      </c>
      <c r="K11" s="49">
        <f>F11+ K10</f>
        <v>76312.5</v>
      </c>
      <c r="L11" s="49" t="str">
        <f>IF(G11="","",IF(L10="SCHEDULED",G11,L10+G11))</f>
        <v/>
      </c>
      <c r="M11" s="49" t="str">
        <f>IF(H11="","",IF(M10="SPENT",H11,M10+H11))</f>
        <v/>
      </c>
      <c r="N11" s="49" t="str">
        <f>IF(L11="","+",K11-L11)</f>
        <v>+</v>
      </c>
      <c r="O11" s="49" t="str">
        <f>IF(M11="","+",K11-M11)</f>
        <v>+</v>
      </c>
      <c r="P11" s="56"/>
      <c r="Q11" s="56"/>
      <c r="R11" s="56"/>
      <c r="S11" s="56"/>
      <c r="T11" s="56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</row>
    <row r="12" spans="1:54" ht="25" customHeight="1" x14ac:dyDescent="0.2">
      <c r="A12" s="34"/>
      <c r="B12" s="35" t="s">
        <v>17</v>
      </c>
      <c r="C12" s="35" t="s">
        <v>69</v>
      </c>
      <c r="D12" s="35" t="s">
        <v>21</v>
      </c>
      <c r="E12" s="45"/>
      <c r="F12" s="46">
        <f>D21</f>
        <v>50875</v>
      </c>
      <c r="G12" s="47"/>
      <c r="H12" s="48"/>
      <c r="I12" s="49" t="str">
        <f>IF(G12="","+",F12-G12)</f>
        <v>+</v>
      </c>
      <c r="J12" s="49" t="str">
        <f>IF(H12="","+",F12-H12)</f>
        <v>+</v>
      </c>
      <c r="K12" s="49">
        <f>F12+ K11</f>
        <v>127187.5</v>
      </c>
      <c r="L12" s="49" t="str">
        <f>IF(G12="","",IF(L11="SCHEDULED",G12,L11+G12))</f>
        <v/>
      </c>
      <c r="M12" s="49" t="str">
        <f>IF(H12="","",IF(M11="SPENT",H12,M11+H12))</f>
        <v/>
      </c>
      <c r="N12" s="49" t="str">
        <f>IF(L12="","+",K12-L12)</f>
        <v>+</v>
      </c>
      <c r="O12" s="49" t="str">
        <f>IF(M12="","+",K12-M12)</f>
        <v>+</v>
      </c>
      <c r="P12" s="56"/>
      <c r="Q12" s="56"/>
      <c r="R12" s="56"/>
      <c r="S12" s="56"/>
      <c r="T12" s="56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</row>
    <row r="13" spans="1:54" ht="25" customHeight="1" x14ac:dyDescent="0.2">
      <c r="A13" s="34"/>
      <c r="B13" s="35" t="s">
        <v>18</v>
      </c>
      <c r="C13" s="35" t="s">
        <v>70</v>
      </c>
      <c r="D13" s="35" t="s">
        <v>21</v>
      </c>
      <c r="E13" s="45"/>
      <c r="F13" s="46">
        <f>D22</f>
        <v>41625</v>
      </c>
      <c r="G13" s="47"/>
      <c r="H13" s="48"/>
      <c r="I13" s="49" t="str">
        <f>IF(G13="","+",F13-G13)</f>
        <v>+</v>
      </c>
      <c r="J13" s="49" t="str">
        <f>IF(H13="","+",F13-H13)</f>
        <v>+</v>
      </c>
      <c r="K13" s="49">
        <f>F13+ K12</f>
        <v>168812.5</v>
      </c>
      <c r="L13" s="49" t="str">
        <f>IF(G13="","",IF(L12="SCHEDULED",G13,L12+G13))</f>
        <v/>
      </c>
      <c r="M13" s="49" t="str">
        <f>IF(H13="","",IF(M12="SPENT",H13,M12+H13))</f>
        <v/>
      </c>
      <c r="N13" s="49" t="str">
        <f>IF(L13="","+",K13-L13)</f>
        <v>+</v>
      </c>
      <c r="O13" s="49" t="str">
        <f>IF(M13="","+",K13-M13)</f>
        <v>+</v>
      </c>
      <c r="P13" s="56"/>
      <c r="Q13" s="56"/>
      <c r="R13" s="56"/>
      <c r="S13" s="56"/>
      <c r="T13" s="56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</row>
    <row r="14" spans="1:54" ht="25" customHeight="1" x14ac:dyDescent="0.2">
      <c r="A14" s="34"/>
      <c r="B14" s="35" t="s">
        <v>19</v>
      </c>
      <c r="C14" s="35" t="s">
        <v>71</v>
      </c>
      <c r="D14" s="35" t="s">
        <v>21</v>
      </c>
      <c r="E14" s="45"/>
      <c r="F14" s="46">
        <f>D23</f>
        <v>46250</v>
      </c>
      <c r="G14" s="47"/>
      <c r="H14" s="48"/>
      <c r="I14" s="49" t="str">
        <f>IF(G14="","+",F14-G14)</f>
        <v>+</v>
      </c>
      <c r="J14" s="49" t="str">
        <f>IF(H14="","+",F14-H14)</f>
        <v>+</v>
      </c>
      <c r="K14" s="49">
        <f>F14+ K13</f>
        <v>215062.5</v>
      </c>
      <c r="L14" s="49" t="str">
        <f>IF(G14="","",IF(L13="SCHEDULED",G14,L13+G14))</f>
        <v/>
      </c>
      <c r="M14" s="49" t="str">
        <f>IF(H14="","",IF(M13="SPENT",H14,M13+H14))</f>
        <v/>
      </c>
      <c r="N14" s="49" t="str">
        <f>IF(L14="","+",K14-L14)</f>
        <v>+</v>
      </c>
      <c r="O14" s="49" t="str">
        <f>IF(M14="","+",K14-M14)</f>
        <v>+</v>
      </c>
      <c r="P14" s="56"/>
      <c r="Q14" s="56"/>
      <c r="R14" s="56"/>
      <c r="S14" s="56"/>
      <c r="T14" s="56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</row>
    <row r="15" spans="1:54" ht="25" customHeight="1" x14ac:dyDescent="0.2">
      <c r="A15" s="34"/>
      <c r="B15" s="35" t="s">
        <v>36</v>
      </c>
      <c r="C15" s="35" t="s">
        <v>72</v>
      </c>
      <c r="D15" s="35" t="s">
        <v>65</v>
      </c>
      <c r="E15" s="45"/>
      <c r="F15" s="46">
        <f>D24</f>
        <v>16187.500000000002</v>
      </c>
      <c r="G15" s="47"/>
      <c r="H15" s="48"/>
      <c r="I15" s="49" t="str">
        <f>IF(G15="","+",F15-G15)</f>
        <v>+</v>
      </c>
      <c r="J15" s="49" t="str">
        <f>IF(H15="","+",F15-H15)</f>
        <v>+</v>
      </c>
      <c r="K15" s="49">
        <f>F15+ K14</f>
        <v>231250</v>
      </c>
      <c r="L15" s="49" t="str">
        <f>IF(G15="","",IF(L14="SCHEDULED",G15,L14+G15))</f>
        <v/>
      </c>
      <c r="M15" s="49" t="str">
        <f>IF(H15="","",IF(M14="SPENT",H15,M14+H15))</f>
        <v/>
      </c>
      <c r="N15" s="49" t="str">
        <f>IF(L15="","+",K15-L15)</f>
        <v>+</v>
      </c>
      <c r="O15" s="49" t="str">
        <f>IF(M15="","+",K15-M15)</f>
        <v>+</v>
      </c>
      <c r="P15" s="56"/>
      <c r="Q15" s="56"/>
      <c r="R15" s="56"/>
      <c r="S15" s="56"/>
      <c r="T15" s="56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</row>
    <row r="16" spans="1:54" ht="25" customHeight="1" x14ac:dyDescent="0.2">
      <c r="A16" s="34"/>
      <c r="B16" s="53" t="s">
        <v>60</v>
      </c>
      <c r="C16" s="53"/>
      <c r="D16" s="53"/>
      <c r="E16" s="50" t="str">
        <f>IF(SUM(E10:E15)=0,"",SUM(E10:E15))</f>
        <v/>
      </c>
      <c r="F16" s="50">
        <f>D25</f>
        <v>231250</v>
      </c>
      <c r="G16" s="50" t="str">
        <f>IF(SUM(G10:G15)=0,"",SUM(G10:G15))</f>
        <v/>
      </c>
      <c r="H16" s="50" t="str">
        <f>IF(SUM(H10:H15)=0,"",SUM(H10:H15))</f>
        <v/>
      </c>
      <c r="I16" s="50" t="str">
        <f>IF(G16="","+",F16-G16)</f>
        <v>+</v>
      </c>
      <c r="J16" s="50" t="str">
        <f>IF(H16="","+",F16-H16)</f>
        <v>+</v>
      </c>
      <c r="K16" s="50">
        <f>K15</f>
        <v>231250</v>
      </c>
      <c r="L16" s="50" t="str">
        <f>IF(G16=0,"",G16)</f>
        <v/>
      </c>
      <c r="M16" s="50" t="str">
        <f>IF(H16=0,"",H16)</f>
        <v/>
      </c>
      <c r="N16" s="50" t="str">
        <f>IF(L16="","+",K16-L16)</f>
        <v>+</v>
      </c>
      <c r="O16" s="50" t="str">
        <f>IF(M16="","+",K16-M16)</f>
        <v>+</v>
      </c>
      <c r="P16" s="53"/>
      <c r="Q16" s="53"/>
      <c r="R16" s="53"/>
      <c r="S16" s="53"/>
      <c r="T16" s="53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</row>
    <row r="17" spans="1:54" ht="25" customHeight="1" x14ac:dyDescent="0.2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</row>
    <row r="18" spans="1:54" ht="25" customHeight="1" x14ac:dyDescent="0.2">
      <c r="A18" s="34"/>
      <c r="B18" s="63" t="s">
        <v>61</v>
      </c>
      <c r="C18" s="54"/>
      <c r="D18" s="55"/>
      <c r="E18" s="34"/>
      <c r="F18" s="40" t="s">
        <v>53</v>
      </c>
      <c r="G18" s="41" t="s">
        <v>55</v>
      </c>
      <c r="H18" s="42" t="s">
        <v>56</v>
      </c>
      <c r="I18" s="43" t="s">
        <v>62</v>
      </c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</row>
    <row r="19" spans="1:54" ht="25" customHeight="1" x14ac:dyDescent="0.2">
      <c r="A19" s="34"/>
      <c r="B19" s="35" t="s">
        <v>15</v>
      </c>
      <c r="C19" s="51">
        <v>0.15</v>
      </c>
      <c r="D19" s="49">
        <f>E6*C19</f>
        <v>34687.5</v>
      </c>
      <c r="E19" s="34"/>
      <c r="F19" s="36"/>
      <c r="G19" s="37"/>
      <c r="H19" s="38"/>
      <c r="I19" s="4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</row>
    <row r="20" spans="1:54" ht="25" customHeight="1" x14ac:dyDescent="0.2">
      <c r="A20" s="34"/>
      <c r="B20" s="35" t="s">
        <v>16</v>
      </c>
      <c r="C20" s="51">
        <v>0.18</v>
      </c>
      <c r="D20" s="49">
        <f>E6*C20</f>
        <v>41625</v>
      </c>
      <c r="E20" s="34"/>
      <c r="F20" s="36"/>
      <c r="G20" s="37"/>
      <c r="H20" s="38"/>
      <c r="I20" s="4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</row>
    <row r="21" spans="1:54" ht="25" customHeight="1" x14ac:dyDescent="0.2">
      <c r="A21" s="34"/>
      <c r="B21" s="35" t="s">
        <v>17</v>
      </c>
      <c r="C21" s="51">
        <v>0.22</v>
      </c>
      <c r="D21" s="49">
        <f>E6*C21</f>
        <v>50875</v>
      </c>
      <c r="E21" s="34"/>
      <c r="F21" s="36"/>
      <c r="G21" s="37"/>
      <c r="H21" s="38"/>
      <c r="I21" s="4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</row>
    <row r="22" spans="1:54" ht="25" customHeight="1" x14ac:dyDescent="0.2">
      <c r="A22" s="34"/>
      <c r="B22" s="35" t="s">
        <v>18</v>
      </c>
      <c r="C22" s="51">
        <v>0.18</v>
      </c>
      <c r="D22" s="49">
        <f>E6*C22</f>
        <v>41625</v>
      </c>
      <c r="E22" s="34"/>
      <c r="F22" s="36"/>
      <c r="G22" s="37"/>
      <c r="H22" s="38"/>
      <c r="I22" s="4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</row>
    <row r="23" spans="1:54" ht="25" customHeight="1" x14ac:dyDescent="0.2">
      <c r="A23" s="34"/>
      <c r="B23" s="35" t="s">
        <v>19</v>
      </c>
      <c r="C23" s="51">
        <v>0.2</v>
      </c>
      <c r="D23" s="49">
        <f>E6*C23</f>
        <v>46250</v>
      </c>
      <c r="E23" s="34"/>
      <c r="F23" s="36"/>
      <c r="G23" s="37"/>
      <c r="H23" s="38"/>
      <c r="I23" s="44"/>
      <c r="J23" s="34"/>
      <c r="K23" s="34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C23" s="34"/>
      <c r="AD23" s="34"/>
      <c r="AE23" s="34"/>
      <c r="AF23" s="34"/>
      <c r="AG23" s="34"/>
      <c r="AH23" s="34"/>
      <c r="AI23" s="34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</row>
    <row r="24" spans="1:54" ht="25" customHeight="1" x14ac:dyDescent="0.2">
      <c r="A24" s="34"/>
      <c r="B24" s="35" t="s">
        <v>36</v>
      </c>
      <c r="C24" s="51">
        <v>7.0000000000000007E-2</v>
      </c>
      <c r="D24" s="49">
        <f>E6*C24</f>
        <v>16187.500000000002</v>
      </c>
      <c r="E24" s="34"/>
      <c r="F24" s="36"/>
      <c r="G24" s="37"/>
      <c r="H24" s="38"/>
      <c r="I24" s="4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</row>
    <row r="25" spans="1:54" ht="25" customHeight="1" x14ac:dyDescent="0.2">
      <c r="A25" s="34"/>
      <c r="B25" s="39" t="s">
        <v>60</v>
      </c>
      <c r="C25" s="52">
        <f>SUM(C19:C24)</f>
        <v>1</v>
      </c>
      <c r="D25" s="50">
        <f>SUM(D19:D24)</f>
        <v>231250</v>
      </c>
      <c r="E25" s="34"/>
      <c r="F25" s="39" t="str">
        <f>IF(SUM(F19:F24)=0,"",SUM(F19:F24))</f>
        <v/>
      </c>
      <c r="G25" s="39" t="str">
        <f>IF(SUM(G19:G24)=0,"",SUM(G19:G24))</f>
        <v/>
      </c>
      <c r="H25" s="39" t="str">
        <f>IF(SUM(H19:H24)=0,"",SUM(H19:H24))</f>
        <v/>
      </c>
      <c r="I25" s="39" t="str">
        <f>IF(SUM(I19:I24)=0,"",SUM(I19:I24))</f>
        <v/>
      </c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</row>
    <row r="26" spans="1:54" ht="25" customHeight="1" x14ac:dyDescent="0.2">
      <c r="A26" s="34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</row>
    <row r="27" spans="1:54" ht="25" customHeight="1" x14ac:dyDescent="0.2">
      <c r="A27" s="34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</row>
    <row r="28" spans="1:54" ht="25" customHeight="1" x14ac:dyDescent="0.2">
      <c r="A28" s="34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</row>
    <row r="29" spans="1:54" ht="25" customHeight="1" x14ac:dyDescent="0.2">
      <c r="A29" s="34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  <c r="AI29" s="34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</row>
    <row r="30" spans="1:54" ht="25" customHeight="1" x14ac:dyDescent="0.2">
      <c r="A30" s="34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</row>
    <row r="31" spans="1:54" x14ac:dyDescent="0.2">
      <c r="A31" s="34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</row>
    <row r="32" spans="1:54" x14ac:dyDescent="0.2">
      <c r="A32" s="34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</row>
    <row r="33" spans="1:54" x14ac:dyDescent="0.2">
      <c r="A33" s="34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</row>
    <row r="34" spans="1:54" x14ac:dyDescent="0.2">
      <c r="A34" s="34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</row>
    <row r="35" spans="1:54" x14ac:dyDescent="0.2">
      <c r="A35" s="34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</row>
    <row r="36" spans="1:54" x14ac:dyDescent="0.2">
      <c r="A36" s="34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</row>
    <row r="37" spans="1:54" x14ac:dyDescent="0.2">
      <c r="A37" s="34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</row>
    <row r="38" spans="1:54" x14ac:dyDescent="0.2">
      <c r="A38" s="34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</row>
    <row r="39" spans="1:54" x14ac:dyDescent="0.2">
      <c r="A39" s="34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</row>
    <row r="40" spans="1:54" x14ac:dyDescent="0.2">
      <c r="A40" s="34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</row>
    <row r="41" spans="1:54" x14ac:dyDescent="0.2">
      <c r="A41" s="34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</row>
    <row r="42" spans="1:54" x14ac:dyDescent="0.2">
      <c r="A42" s="34"/>
      <c r="B42" s="34"/>
      <c r="C42" s="34"/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</row>
    <row r="43" spans="1:54" x14ac:dyDescent="0.2">
      <c r="A43" s="34"/>
      <c r="B43" s="34"/>
      <c r="C43" s="34"/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</row>
    <row r="44" spans="1:54" x14ac:dyDescent="0.2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</row>
    <row r="45" spans="1:54" x14ac:dyDescent="0.2">
      <c r="A45" s="34"/>
      <c r="B45" s="34"/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</row>
    <row r="46" spans="1:54" x14ac:dyDescent="0.2">
      <c r="A46" s="34"/>
      <c r="B46" s="34"/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</row>
    <row r="47" spans="1:54" x14ac:dyDescent="0.2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</row>
    <row r="48" spans="1:54" x14ac:dyDescent="0.2">
      <c r="A48" s="34"/>
      <c r="B48" s="34"/>
      <c r="C48" s="34"/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</row>
    <row r="49" spans="1:54" x14ac:dyDescent="0.2">
      <c r="A49" s="34"/>
      <c r="B49" s="34"/>
      <c r="C49" s="34"/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</row>
    <row r="50" spans="1:54" x14ac:dyDescent="0.2">
      <c r="A50" s="34"/>
      <c r="B50" s="34"/>
      <c r="C50" s="34"/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</row>
    <row r="51" spans="1:54" x14ac:dyDescent="0.2">
      <c r="A51" s="34"/>
      <c r="B51" s="34"/>
      <c r="C51" s="34"/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</row>
    <row r="52" spans="1:54" x14ac:dyDescent="0.2">
      <c r="A52" s="34"/>
      <c r="B52" s="34"/>
      <c r="C52" s="34"/>
      <c r="D52" s="34"/>
      <c r="E52" s="34"/>
      <c r="F52" s="34"/>
      <c r="G52" s="34"/>
      <c r="H52" s="34"/>
      <c r="I52" s="34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</row>
    <row r="53" spans="1:54" x14ac:dyDescent="0.2">
      <c r="A53" s="34"/>
      <c r="B53" s="34"/>
      <c r="C53" s="3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</row>
    <row r="54" spans="1:54" x14ac:dyDescent="0.2">
      <c r="A54" s="34"/>
      <c r="B54" s="34"/>
      <c r="C54" s="34"/>
      <c r="D54" s="34"/>
      <c r="E54" s="34"/>
      <c r="F54" s="34"/>
      <c r="G54" s="34"/>
      <c r="H54" s="34"/>
      <c r="I54" s="34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</row>
    <row r="55" spans="1:54" x14ac:dyDescent="0.2">
      <c r="A55" s="34"/>
      <c r="B55" s="34"/>
      <c r="C55" s="34"/>
      <c r="D55" s="34"/>
      <c r="E55" s="34"/>
      <c r="F55" s="34"/>
      <c r="G55" s="34"/>
      <c r="H55" s="34"/>
      <c r="I55" s="34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</row>
    <row r="56" spans="1:54" x14ac:dyDescent="0.2">
      <c r="A56" s="34"/>
      <c r="B56" s="34"/>
      <c r="C56" s="34"/>
      <c r="D56" s="34"/>
      <c r="E56" s="34"/>
      <c r="F56" s="34"/>
      <c r="G56" s="34"/>
      <c r="H56" s="34"/>
      <c r="I56" s="34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</row>
    <row r="57" spans="1:54" x14ac:dyDescent="0.2">
      <c r="A57" s="34"/>
      <c r="B57" s="34"/>
      <c r="C57" s="34"/>
      <c r="D57" s="34"/>
      <c r="E57" s="34"/>
      <c r="F57" s="34"/>
      <c r="G57" s="34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</row>
    <row r="58" spans="1:54" x14ac:dyDescent="0.2">
      <c r="A58" s="34"/>
      <c r="B58" s="34"/>
      <c r="C58" s="34"/>
      <c r="D58" s="34"/>
      <c r="E58" s="34"/>
      <c r="F58" s="34"/>
      <c r="G58" s="34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</row>
    <row r="59" spans="1:54" x14ac:dyDescent="0.2">
      <c r="A59" s="34"/>
      <c r="B59" s="34"/>
      <c r="C59" s="34"/>
      <c r="D59" s="34"/>
      <c r="E59" s="34"/>
      <c r="F59" s="34"/>
      <c r="G59" s="34"/>
      <c r="H59" s="34"/>
      <c r="I59" s="34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</row>
    <row r="60" spans="1:54" x14ac:dyDescent="0.2">
      <c r="A60" s="34"/>
      <c r="B60" s="3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</row>
    <row r="61" spans="1:54" x14ac:dyDescent="0.2">
      <c r="A61" s="34"/>
      <c r="B61" s="34"/>
      <c r="C61" s="34"/>
      <c r="D61" s="34"/>
      <c r="E61" s="34"/>
      <c r="F61" s="34"/>
      <c r="G61" s="34"/>
      <c r="H61" s="34"/>
      <c r="I61" s="34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</row>
    <row r="62" spans="1:54" x14ac:dyDescent="0.2">
      <c r="A62" s="34"/>
      <c r="B62" s="34"/>
      <c r="C62" s="34"/>
      <c r="D62" s="34"/>
      <c r="E62" s="34"/>
      <c r="F62" s="34"/>
      <c r="G62" s="34"/>
      <c r="H62" s="34"/>
      <c r="I62" s="34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</row>
    <row r="63" spans="1:54" x14ac:dyDescent="0.2">
      <c r="A63" s="34"/>
      <c r="B63" s="34"/>
      <c r="C63" s="34"/>
      <c r="D63" s="34"/>
      <c r="E63" s="34"/>
      <c r="F63" s="34"/>
      <c r="G63" s="34"/>
      <c r="H63" s="34"/>
      <c r="I63" s="34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</row>
    <row r="64" spans="1:54" x14ac:dyDescent="0.2">
      <c r="A64" s="34"/>
      <c r="B64" s="34"/>
      <c r="C64" s="34"/>
      <c r="D64" s="34"/>
      <c r="E64" s="34"/>
      <c r="F64" s="34"/>
      <c r="G64" s="34"/>
      <c r="H64" s="34"/>
      <c r="I64" s="34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</row>
    <row r="65" spans="1:54" x14ac:dyDescent="0.2">
      <c r="A65" s="34"/>
      <c r="B65" s="34"/>
      <c r="C65" s="3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</row>
    <row r="66" spans="1:54" x14ac:dyDescent="0.2">
      <c r="A66" s="34"/>
      <c r="B66" s="34"/>
      <c r="C66" s="34"/>
      <c r="D66" s="34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</row>
    <row r="67" spans="1:54" x14ac:dyDescent="0.2">
      <c r="A67" s="34"/>
      <c r="B67" s="34"/>
      <c r="C67" s="34"/>
      <c r="D67" s="34"/>
      <c r="E67" s="34"/>
      <c r="F67" s="34"/>
      <c r="G67" s="34"/>
      <c r="H67" s="34"/>
      <c r="I67" s="34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</row>
    <row r="68" spans="1:54" x14ac:dyDescent="0.2">
      <c r="A68" s="34"/>
      <c r="B68" s="34"/>
      <c r="C68" s="34"/>
      <c r="D68" s="34"/>
      <c r="E68" s="34"/>
      <c r="F68" s="34"/>
      <c r="G68" s="34"/>
      <c r="H68" s="34"/>
      <c r="I68" s="34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</row>
    <row r="69" spans="1:54" x14ac:dyDescent="0.2">
      <c r="A69" s="34"/>
      <c r="B69" s="34"/>
      <c r="C69" s="34"/>
      <c r="D69" s="34"/>
      <c r="E69" s="34"/>
      <c r="F69" s="34"/>
      <c r="G69" s="34"/>
      <c r="H69" s="34"/>
      <c r="I69" s="34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</row>
    <row r="70" spans="1:54" x14ac:dyDescent="0.2">
      <c r="A70" s="34"/>
      <c r="B70" s="34"/>
      <c r="C70" s="34"/>
      <c r="D70" s="34"/>
      <c r="E70" s="34"/>
      <c r="F70" s="34"/>
      <c r="G70" s="34"/>
      <c r="H70" s="34"/>
      <c r="I70" s="34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</row>
    <row r="71" spans="1:54" x14ac:dyDescent="0.2">
      <c r="A71" s="34"/>
      <c r="B71" s="34"/>
      <c r="C71" s="34"/>
      <c r="D71" s="34"/>
      <c r="E71" s="34"/>
      <c r="F71" s="34"/>
      <c r="G71" s="34"/>
      <c r="H71" s="34"/>
      <c r="I71" s="34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</row>
    <row r="72" spans="1:54" x14ac:dyDescent="0.2">
      <c r="A72" s="34"/>
      <c r="B72" s="34"/>
      <c r="C72" s="34"/>
      <c r="D72" s="34"/>
      <c r="E72" s="34"/>
      <c r="F72" s="34"/>
      <c r="G72" s="34"/>
      <c r="H72" s="34"/>
      <c r="I72" s="34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</row>
    <row r="73" spans="1:54" x14ac:dyDescent="0.2">
      <c r="A73" s="34"/>
      <c r="B73" s="34"/>
      <c r="C73" s="34"/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</row>
    <row r="74" spans="1:54" x14ac:dyDescent="0.2">
      <c r="A74" s="34"/>
      <c r="B74" s="34"/>
      <c r="C74" s="34"/>
      <c r="D74" s="34"/>
      <c r="E74" s="34"/>
      <c r="F74" s="34"/>
      <c r="G74" s="34"/>
      <c r="H74" s="34"/>
      <c r="I74" s="34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</row>
    <row r="75" spans="1:54" x14ac:dyDescent="0.2">
      <c r="A75" s="34"/>
      <c r="B75" s="34"/>
      <c r="C75" s="34"/>
      <c r="D75" s="34"/>
      <c r="E75" s="34"/>
      <c r="F75" s="34"/>
      <c r="G75" s="34"/>
      <c r="H75" s="34"/>
      <c r="I75" s="34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</row>
    <row r="76" spans="1:54" x14ac:dyDescent="0.2">
      <c r="A76" s="34"/>
      <c r="B76" s="34"/>
      <c r="C76" s="34"/>
      <c r="D76" s="34"/>
      <c r="E76" s="34"/>
      <c r="F76" s="34"/>
      <c r="G76" s="34"/>
      <c r="H76" s="34"/>
      <c r="I76" s="34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</row>
    <row r="77" spans="1:54" x14ac:dyDescent="0.2">
      <c r="A77" s="34"/>
      <c r="B77" s="34"/>
      <c r="C77" s="34"/>
      <c r="D77" s="34"/>
      <c r="E77" s="34"/>
      <c r="F77" s="34"/>
      <c r="G77" s="34"/>
      <c r="H77" s="34"/>
      <c r="I77" s="34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</row>
    <row r="78" spans="1:54" x14ac:dyDescent="0.2">
      <c r="A78" s="34"/>
      <c r="B78" s="34"/>
      <c r="C78" s="34"/>
      <c r="D78" s="34"/>
      <c r="E78" s="34"/>
      <c r="F78" s="34"/>
      <c r="G78" s="34"/>
      <c r="H78" s="34"/>
      <c r="I78" s="34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</row>
    <row r="79" spans="1:54" x14ac:dyDescent="0.2">
      <c r="A79" s="34"/>
      <c r="B79" s="34"/>
      <c r="C79" s="34"/>
      <c r="D79" s="34"/>
      <c r="E79" s="34"/>
      <c r="F79" s="34"/>
      <c r="G79" s="34"/>
      <c r="H79" s="34"/>
      <c r="I79" s="34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</row>
    <row r="80" spans="1:54" x14ac:dyDescent="0.2">
      <c r="A80" s="34"/>
      <c r="B80" s="34"/>
      <c r="C80" s="34"/>
      <c r="D80" s="34"/>
      <c r="E80" s="34"/>
      <c r="F80" s="34"/>
      <c r="G80" s="34"/>
      <c r="H80" s="34"/>
      <c r="I80" s="34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</row>
    <row r="81" spans="1:54" x14ac:dyDescent="0.2">
      <c r="A81" s="34"/>
      <c r="B81" s="34"/>
      <c r="C81" s="34"/>
      <c r="D81" s="34"/>
      <c r="E81" s="34"/>
      <c r="F81" s="34"/>
      <c r="G81" s="34"/>
      <c r="H81" s="34"/>
      <c r="I81" s="34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</row>
    <row r="82" spans="1:54" x14ac:dyDescent="0.2">
      <c r="A82" s="34"/>
      <c r="B82" s="34"/>
      <c r="C82" s="34"/>
      <c r="D82" s="34"/>
      <c r="E82" s="34"/>
      <c r="F82" s="34"/>
      <c r="G82" s="34"/>
      <c r="H82" s="34"/>
      <c r="I82" s="34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</row>
    <row r="83" spans="1:54" x14ac:dyDescent="0.2">
      <c r="A83" s="34"/>
      <c r="B83" s="34"/>
      <c r="C83" s="34"/>
      <c r="D83" s="34"/>
      <c r="E83" s="34"/>
      <c r="F83" s="34"/>
      <c r="G83" s="34"/>
      <c r="H83" s="34"/>
      <c r="I83" s="34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</row>
    <row r="84" spans="1:54" x14ac:dyDescent="0.2">
      <c r="A84" s="34"/>
      <c r="B84" s="34"/>
      <c r="C84" s="34"/>
      <c r="D84" s="34"/>
      <c r="E84" s="34"/>
      <c r="F84" s="34"/>
      <c r="G84" s="34"/>
      <c r="H84" s="34"/>
      <c r="I84" s="34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</row>
    <row r="85" spans="1:54" x14ac:dyDescent="0.2">
      <c r="A85" s="34"/>
      <c r="B85" s="34"/>
      <c r="C85" s="34"/>
      <c r="D85" s="34"/>
      <c r="E85" s="34"/>
      <c r="F85" s="34"/>
      <c r="G85" s="34"/>
      <c r="H85" s="34"/>
      <c r="I85" s="34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</row>
    <row r="86" spans="1:54" x14ac:dyDescent="0.2">
      <c r="A86" s="34"/>
      <c r="B86" s="34"/>
      <c r="C86" s="34"/>
      <c r="D86" s="34"/>
      <c r="E86" s="34"/>
      <c r="F86" s="34"/>
      <c r="G86" s="34"/>
      <c r="H86" s="34"/>
      <c r="I86" s="34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</row>
    <row r="87" spans="1:54" x14ac:dyDescent="0.2">
      <c r="A87" s="34"/>
      <c r="B87" s="34"/>
      <c r="C87" s="34"/>
      <c r="D87" s="34"/>
      <c r="E87" s="34"/>
      <c r="F87" s="34"/>
      <c r="G87" s="34"/>
      <c r="H87" s="34"/>
      <c r="I87" s="34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</row>
    <row r="88" spans="1:54" x14ac:dyDescent="0.2">
      <c r="A88" s="34"/>
      <c r="B88" s="34"/>
      <c r="C88" s="34"/>
      <c r="D88" s="34"/>
      <c r="E88" s="34"/>
      <c r="F88" s="34"/>
      <c r="G88" s="34"/>
      <c r="H88" s="34"/>
      <c r="I88" s="34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</row>
    <row r="89" spans="1:54" x14ac:dyDescent="0.2">
      <c r="A89" s="34"/>
      <c r="B89" s="34"/>
      <c r="C89" s="34"/>
      <c r="D89" s="34"/>
      <c r="E89" s="34"/>
      <c r="F89" s="34"/>
      <c r="G89" s="34"/>
      <c r="H89" s="34"/>
      <c r="I89" s="34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</row>
    <row r="90" spans="1:54" x14ac:dyDescent="0.2">
      <c r="A90" s="34"/>
      <c r="B90" s="34"/>
      <c r="C90" s="3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</row>
    <row r="91" spans="1:54" x14ac:dyDescent="0.2">
      <c r="A91" s="34"/>
      <c r="B91" s="34"/>
      <c r="C91" s="34"/>
      <c r="D91" s="34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</row>
    <row r="92" spans="1:54" x14ac:dyDescent="0.2">
      <c r="A92" s="34"/>
      <c r="B92" s="34"/>
      <c r="C92" s="34"/>
      <c r="D92" s="34"/>
      <c r="E92" s="34"/>
      <c r="F92" s="34"/>
      <c r="G92" s="34"/>
      <c r="H92" s="34"/>
      <c r="I92" s="34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</row>
    <row r="93" spans="1:54" x14ac:dyDescent="0.2">
      <c r="A93" s="34"/>
      <c r="B93" s="34"/>
      <c r="C93" s="34"/>
      <c r="D93" s="34"/>
      <c r="E93" s="34"/>
      <c r="F93" s="34"/>
      <c r="G93" s="34"/>
      <c r="H93" s="34"/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</row>
    <row r="94" spans="1:54" x14ac:dyDescent="0.2">
      <c r="A94" s="34"/>
      <c r="B94" s="34"/>
      <c r="C94" s="34"/>
      <c r="D94" s="34"/>
      <c r="E94" s="34"/>
      <c r="F94" s="34"/>
      <c r="G94" s="34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</row>
    <row r="95" spans="1:54" x14ac:dyDescent="0.2">
      <c r="A95" s="34"/>
      <c r="B95" s="34"/>
      <c r="C95" s="34"/>
      <c r="D95" s="34"/>
      <c r="E95" s="34"/>
      <c r="F95" s="34"/>
      <c r="G95" s="34"/>
      <c r="H95" s="34"/>
      <c r="I95" s="34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</row>
    <row r="96" spans="1:54" x14ac:dyDescent="0.2">
      <c r="A96" s="34"/>
      <c r="B96" s="34"/>
      <c r="C96" s="34"/>
      <c r="D96" s="34"/>
      <c r="E96" s="34"/>
      <c r="F96" s="34"/>
      <c r="G96" s="34"/>
      <c r="H96" s="34"/>
      <c r="I96" s="34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</row>
    <row r="97" spans="1:54" x14ac:dyDescent="0.2">
      <c r="A97" s="34"/>
      <c r="B97" s="34"/>
      <c r="C97" s="34"/>
      <c r="D97" s="34"/>
      <c r="E97" s="34"/>
      <c r="F97" s="34"/>
      <c r="G97" s="34"/>
      <c r="H97" s="34"/>
      <c r="I97" s="34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</row>
    <row r="98" spans="1:54" x14ac:dyDescent="0.2">
      <c r="A98" s="34"/>
      <c r="B98" s="34"/>
      <c r="C98" s="34"/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</row>
    <row r="99" spans="1:54" x14ac:dyDescent="0.2">
      <c r="A99" s="34"/>
      <c r="B99" s="34"/>
      <c r="C99" s="34"/>
      <c r="D99" s="34"/>
      <c r="E99" s="34"/>
      <c r="F99" s="34"/>
      <c r="G99" s="34"/>
      <c r="H99" s="34"/>
      <c r="I99" s="34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</row>
    <row r="100" spans="1:54" x14ac:dyDescent="0.2">
      <c r="A100" s="34"/>
      <c r="B100" s="34"/>
      <c r="C100" s="34"/>
      <c r="D100" s="34"/>
      <c r="E100" s="34"/>
      <c r="F100" s="34"/>
      <c r="G100" s="34"/>
      <c r="H100" s="34"/>
      <c r="I100" s="34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</row>
    <row r="101" spans="1:54" x14ac:dyDescent="0.2">
      <c r="A101" s="34"/>
      <c r="B101" s="34"/>
      <c r="C101" s="34"/>
      <c r="D101" s="34"/>
      <c r="E101" s="34"/>
      <c r="F101" s="34"/>
      <c r="G101" s="34"/>
      <c r="H101" s="34"/>
      <c r="I101" s="34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</row>
    <row r="102" spans="1:54" x14ac:dyDescent="0.2">
      <c r="A102" s="34"/>
      <c r="B102" s="34"/>
      <c r="C102" s="34"/>
      <c r="D102" s="34"/>
      <c r="E102" s="34"/>
      <c r="F102" s="34"/>
      <c r="G102" s="34"/>
      <c r="H102" s="34"/>
      <c r="I102" s="34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</row>
    <row r="103" spans="1:54" x14ac:dyDescent="0.2">
      <c r="A103" s="34"/>
      <c r="B103" s="34"/>
      <c r="C103" s="34"/>
      <c r="D103" s="34"/>
      <c r="E103" s="34"/>
      <c r="F103" s="34"/>
      <c r="G103" s="34"/>
      <c r="H103" s="34"/>
      <c r="I103" s="34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</row>
    <row r="104" spans="1:54" x14ac:dyDescent="0.2">
      <c r="A104" s="34"/>
      <c r="B104" s="34"/>
      <c r="C104" s="34"/>
      <c r="D104" s="34"/>
      <c r="E104" s="34"/>
      <c r="F104" s="34"/>
      <c r="G104" s="34"/>
      <c r="H104" s="34"/>
      <c r="I104" s="34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</row>
    <row r="105" spans="1:54" x14ac:dyDescent="0.2">
      <c r="A105" s="34"/>
      <c r="B105" s="34"/>
      <c r="C105" s="34"/>
      <c r="D105" s="34"/>
      <c r="E105" s="34"/>
      <c r="F105" s="34"/>
      <c r="G105" s="34"/>
      <c r="H105" s="34"/>
      <c r="I105" s="34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</row>
    <row r="106" spans="1:54" x14ac:dyDescent="0.2">
      <c r="A106" s="34"/>
      <c r="B106" s="34"/>
      <c r="C106" s="34"/>
      <c r="D106" s="34"/>
      <c r="E106" s="34"/>
      <c r="F106" s="34"/>
      <c r="G106" s="34"/>
      <c r="H106" s="34"/>
      <c r="I106" s="34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</row>
    <row r="107" spans="1:54" x14ac:dyDescent="0.2">
      <c r="A107" s="34"/>
      <c r="B107" s="34"/>
      <c r="C107" s="34"/>
      <c r="D107" s="34"/>
      <c r="E107" s="34"/>
      <c r="F107" s="34"/>
      <c r="G107" s="34"/>
      <c r="H107" s="34"/>
      <c r="I107" s="34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</row>
    <row r="108" spans="1:54" x14ac:dyDescent="0.2">
      <c r="A108" s="34"/>
      <c r="B108" s="34"/>
      <c r="C108" s="34"/>
      <c r="D108" s="34"/>
      <c r="E108" s="34"/>
      <c r="F108" s="34"/>
      <c r="G108" s="34"/>
      <c r="H108" s="34"/>
      <c r="I108" s="34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</row>
    <row r="109" spans="1:54" x14ac:dyDescent="0.2">
      <c r="A109" s="34"/>
      <c r="B109" s="34"/>
      <c r="C109" s="34"/>
      <c r="D109" s="34"/>
      <c r="E109" s="34"/>
      <c r="F109" s="34"/>
      <c r="G109" s="34"/>
      <c r="H109" s="34"/>
      <c r="I109" s="34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</row>
    <row r="110" spans="1:54" x14ac:dyDescent="0.2">
      <c r="A110" s="34"/>
      <c r="B110" s="34"/>
      <c r="C110" s="34"/>
      <c r="D110" s="34"/>
      <c r="E110" s="34"/>
      <c r="F110" s="34"/>
      <c r="G110" s="34"/>
      <c r="H110" s="34"/>
      <c r="I110" s="34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</row>
    <row r="111" spans="1:54" x14ac:dyDescent="0.2">
      <c r="A111" s="34"/>
      <c r="B111" s="34"/>
      <c r="C111" s="34"/>
      <c r="D111" s="34"/>
      <c r="E111" s="34"/>
      <c r="F111" s="34"/>
      <c r="G111" s="34"/>
      <c r="H111" s="34"/>
      <c r="I111" s="34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</row>
    <row r="112" spans="1:54" x14ac:dyDescent="0.2">
      <c r="A112" s="34"/>
      <c r="B112" s="34"/>
      <c r="C112" s="34"/>
      <c r="D112" s="34"/>
      <c r="E112" s="34"/>
      <c r="F112" s="34"/>
      <c r="G112" s="34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</row>
    <row r="113" spans="1:54" x14ac:dyDescent="0.2">
      <c r="A113" s="34"/>
      <c r="B113" s="34"/>
      <c r="C113" s="34"/>
      <c r="D113" s="34"/>
      <c r="E113" s="34"/>
      <c r="F113" s="34"/>
      <c r="G113" s="34"/>
      <c r="H113" s="34"/>
      <c r="I113" s="34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</row>
    <row r="114" spans="1:54" x14ac:dyDescent="0.2">
      <c r="A114" s="34"/>
      <c r="B114" s="34"/>
      <c r="C114" s="34"/>
      <c r="D114" s="34"/>
      <c r="E114" s="34"/>
      <c r="F114" s="34"/>
      <c r="G114" s="34"/>
      <c r="H114" s="34"/>
      <c r="I114" s="34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</row>
    <row r="115" spans="1:54" x14ac:dyDescent="0.2">
      <c r="A115" s="34"/>
      <c r="B115" s="34"/>
      <c r="C115" s="3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</row>
    <row r="116" spans="1:54" x14ac:dyDescent="0.2">
      <c r="A116" s="34"/>
      <c r="B116" s="34"/>
      <c r="C116" s="34"/>
      <c r="D116" s="34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</row>
    <row r="117" spans="1:54" x14ac:dyDescent="0.2">
      <c r="A117" s="34"/>
      <c r="B117" s="34"/>
      <c r="C117" s="34"/>
      <c r="D117" s="34"/>
      <c r="E117" s="34"/>
      <c r="F117" s="34"/>
      <c r="G117" s="34"/>
      <c r="H117" s="34"/>
      <c r="I117" s="34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</row>
    <row r="118" spans="1:54" x14ac:dyDescent="0.2">
      <c r="A118" s="34"/>
      <c r="B118" s="34"/>
      <c r="C118" s="34"/>
      <c r="D118" s="34"/>
      <c r="E118" s="34"/>
      <c r="F118" s="34"/>
      <c r="G118" s="34"/>
      <c r="H118" s="34"/>
      <c r="I118" s="34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</row>
    <row r="119" spans="1:54" x14ac:dyDescent="0.2">
      <c r="A119" s="34"/>
      <c r="B119" s="34"/>
      <c r="C119" s="34"/>
      <c r="D119" s="34"/>
      <c r="E119" s="34"/>
      <c r="F119" s="34"/>
      <c r="G119" s="34"/>
      <c r="H119" s="34"/>
      <c r="I119" s="34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</row>
    <row r="120" spans="1:54" x14ac:dyDescent="0.2">
      <c r="A120" s="34"/>
      <c r="B120" s="34"/>
      <c r="C120" s="34"/>
      <c r="D120" s="34"/>
      <c r="E120" s="34"/>
      <c r="F120" s="34"/>
      <c r="G120" s="34"/>
      <c r="H120" s="34"/>
      <c r="I120" s="34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</row>
    <row r="121" spans="1:54" x14ac:dyDescent="0.2">
      <c r="A121" s="34"/>
      <c r="B121" s="34"/>
      <c r="C121" s="34"/>
      <c r="D121" s="34"/>
      <c r="E121" s="34"/>
      <c r="F121" s="34"/>
      <c r="G121" s="34"/>
      <c r="H121" s="34"/>
      <c r="I121" s="34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</row>
    <row r="122" spans="1:54" x14ac:dyDescent="0.2">
      <c r="A122" s="34"/>
      <c r="B122" s="34"/>
      <c r="C122" s="34"/>
      <c r="D122" s="34"/>
      <c r="E122" s="34"/>
      <c r="F122" s="34"/>
      <c r="G122" s="34"/>
      <c r="H122" s="34"/>
      <c r="I122" s="34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</row>
    <row r="123" spans="1:54" x14ac:dyDescent="0.2">
      <c r="A123" s="34"/>
      <c r="B123" s="34"/>
      <c r="C123" s="34"/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</row>
    <row r="124" spans="1:54" x14ac:dyDescent="0.2">
      <c r="A124" s="34"/>
      <c r="B124" s="34"/>
      <c r="C124" s="34"/>
      <c r="D124" s="34"/>
      <c r="E124" s="34"/>
      <c r="F124" s="34"/>
      <c r="G124" s="34"/>
      <c r="H124" s="34"/>
      <c r="I124" s="34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</row>
    <row r="125" spans="1:54" x14ac:dyDescent="0.2">
      <c r="A125" s="34"/>
      <c r="B125" s="34"/>
      <c r="C125" s="34"/>
      <c r="D125" s="34"/>
      <c r="E125" s="34"/>
      <c r="F125" s="34"/>
      <c r="G125" s="34"/>
      <c r="H125" s="34"/>
      <c r="I125" s="34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</row>
    <row r="126" spans="1:54" x14ac:dyDescent="0.2">
      <c r="A126" s="34"/>
      <c r="B126" s="34"/>
      <c r="C126" s="34"/>
      <c r="D126" s="34"/>
      <c r="E126" s="34"/>
      <c r="F126" s="34"/>
      <c r="G126" s="34"/>
      <c r="H126" s="34"/>
      <c r="I126" s="34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</row>
    <row r="127" spans="1:54" x14ac:dyDescent="0.2">
      <c r="A127" s="34"/>
      <c r="B127" s="34"/>
      <c r="C127" s="34"/>
      <c r="D127" s="34"/>
      <c r="E127" s="34"/>
      <c r="F127" s="34"/>
      <c r="G127" s="34"/>
      <c r="H127" s="34"/>
      <c r="I127" s="34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</row>
    <row r="128" spans="1:54" x14ac:dyDescent="0.2">
      <c r="A128" s="34"/>
      <c r="B128" s="34"/>
      <c r="C128" s="34"/>
      <c r="D128" s="34"/>
      <c r="E128" s="34"/>
      <c r="F128" s="34"/>
      <c r="G128" s="34"/>
      <c r="H128" s="34"/>
      <c r="I128" s="34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</row>
    <row r="129" spans="1:54" x14ac:dyDescent="0.2">
      <c r="A129" s="34"/>
      <c r="B129" s="34"/>
      <c r="C129" s="34"/>
      <c r="D129" s="34"/>
      <c r="E129" s="34"/>
      <c r="F129" s="34"/>
      <c r="G129" s="34"/>
      <c r="H129" s="34"/>
      <c r="I129" s="34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</row>
    <row r="130" spans="1:54" x14ac:dyDescent="0.2">
      <c r="A130" s="34"/>
      <c r="B130" s="34"/>
      <c r="C130" s="34"/>
      <c r="D130" s="34"/>
      <c r="E130" s="34"/>
      <c r="F130" s="34"/>
      <c r="G130" s="34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</row>
    <row r="131" spans="1:54" x14ac:dyDescent="0.2">
      <c r="A131" s="34"/>
      <c r="B131" s="34"/>
      <c r="C131" s="34"/>
      <c r="D131" s="34"/>
      <c r="E131" s="34"/>
      <c r="F131" s="34"/>
      <c r="G131" s="34"/>
      <c r="H131" s="34"/>
      <c r="I131" s="34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</row>
    <row r="132" spans="1:54" x14ac:dyDescent="0.2">
      <c r="A132" s="34"/>
      <c r="B132" s="34"/>
      <c r="C132" s="34"/>
      <c r="D132" s="34"/>
      <c r="E132" s="34"/>
      <c r="F132" s="34"/>
      <c r="G132" s="34"/>
      <c r="H132" s="34"/>
      <c r="I132" s="34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</row>
    <row r="133" spans="1:54" x14ac:dyDescent="0.2">
      <c r="A133" s="34"/>
      <c r="B133" s="34"/>
      <c r="C133" s="34"/>
      <c r="D133" s="34"/>
      <c r="E133" s="34"/>
      <c r="F133" s="34"/>
      <c r="G133" s="34"/>
      <c r="H133" s="34"/>
      <c r="I133" s="34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</row>
    <row r="134" spans="1:54" x14ac:dyDescent="0.2">
      <c r="A134" s="34"/>
      <c r="B134" s="34"/>
      <c r="C134" s="34"/>
      <c r="D134" s="34"/>
      <c r="E134" s="34"/>
      <c r="F134" s="34"/>
      <c r="G134" s="34"/>
      <c r="H134" s="34"/>
      <c r="I134" s="34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</row>
    <row r="135" spans="1:54" x14ac:dyDescent="0.2">
      <c r="A135" s="34"/>
      <c r="B135" s="34"/>
      <c r="C135" s="34"/>
      <c r="D135" s="34"/>
      <c r="E135" s="34"/>
      <c r="F135" s="34"/>
      <c r="G135" s="34"/>
      <c r="H135" s="34"/>
      <c r="I135" s="34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</row>
    <row r="136" spans="1:54" x14ac:dyDescent="0.2">
      <c r="A136" s="34"/>
      <c r="B136" s="34"/>
      <c r="C136" s="34"/>
      <c r="D136" s="34"/>
      <c r="E136" s="34"/>
      <c r="F136" s="34"/>
      <c r="G136" s="34"/>
      <c r="H136" s="34"/>
      <c r="I136" s="34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</row>
    <row r="137" spans="1:54" x14ac:dyDescent="0.2">
      <c r="A137" s="34"/>
      <c r="B137" s="34"/>
      <c r="C137" s="34"/>
      <c r="D137" s="34"/>
      <c r="E137" s="34"/>
      <c r="F137" s="34"/>
      <c r="G137" s="34"/>
      <c r="H137" s="34"/>
      <c r="I137" s="34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</row>
    <row r="138" spans="1:54" x14ac:dyDescent="0.2">
      <c r="A138" s="34"/>
      <c r="B138" s="34"/>
      <c r="C138" s="34"/>
      <c r="D138" s="34"/>
      <c r="E138" s="34"/>
      <c r="F138" s="34"/>
      <c r="G138" s="34"/>
      <c r="H138" s="34"/>
      <c r="I138" s="34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</row>
    <row r="139" spans="1:54" x14ac:dyDescent="0.2">
      <c r="A139" s="34"/>
      <c r="B139" s="34"/>
      <c r="C139" s="34"/>
      <c r="D139" s="34"/>
      <c r="E139" s="34"/>
      <c r="F139" s="34"/>
      <c r="G139" s="34"/>
      <c r="H139" s="34"/>
      <c r="I139" s="34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</row>
    <row r="140" spans="1:54" x14ac:dyDescent="0.2">
      <c r="A140" s="34"/>
      <c r="B140" s="34"/>
      <c r="C140" s="34"/>
      <c r="D140" s="34"/>
      <c r="E140" s="34"/>
      <c r="F140" s="34"/>
      <c r="G140" s="34"/>
      <c r="H140" s="34"/>
      <c r="I140" s="34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</row>
    <row r="141" spans="1:54" x14ac:dyDescent="0.2">
      <c r="A141" s="34"/>
      <c r="B141" s="34"/>
      <c r="C141" s="3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</row>
    <row r="142" spans="1:54" x14ac:dyDescent="0.2">
      <c r="A142" s="34"/>
      <c r="B142" s="34"/>
      <c r="C142" s="34"/>
      <c r="D142" s="34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</row>
    <row r="143" spans="1:54" x14ac:dyDescent="0.2">
      <c r="A143" s="34"/>
      <c r="B143" s="34"/>
      <c r="C143" s="34"/>
      <c r="D143" s="34"/>
      <c r="E143" s="34"/>
      <c r="F143" s="34"/>
      <c r="G143" s="34"/>
      <c r="H143" s="34"/>
      <c r="I143" s="34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</row>
    <row r="144" spans="1:54" x14ac:dyDescent="0.2">
      <c r="A144" s="34"/>
      <c r="B144" s="34"/>
      <c r="C144" s="34"/>
      <c r="D144" s="34"/>
      <c r="E144" s="34"/>
      <c r="F144" s="34"/>
      <c r="G144" s="34"/>
      <c r="H144" s="34"/>
      <c r="I144" s="34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</row>
    <row r="145" spans="1:54" x14ac:dyDescent="0.2">
      <c r="A145" s="34"/>
      <c r="B145" s="34"/>
      <c r="C145" s="34"/>
      <c r="D145" s="34"/>
      <c r="E145" s="34"/>
      <c r="F145" s="34"/>
      <c r="G145" s="34"/>
      <c r="H145" s="34"/>
      <c r="I145" s="34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</row>
    <row r="146" spans="1:54" x14ac:dyDescent="0.2">
      <c r="A146" s="34"/>
      <c r="B146" s="34"/>
      <c r="C146" s="34"/>
      <c r="D146" s="34"/>
      <c r="E146" s="34"/>
      <c r="F146" s="34"/>
      <c r="G146" s="34"/>
      <c r="H146" s="34"/>
      <c r="I146" s="34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</row>
    <row r="147" spans="1:54" x14ac:dyDescent="0.2">
      <c r="A147" s="34"/>
      <c r="B147" s="34"/>
      <c r="C147" s="34"/>
      <c r="D147" s="34"/>
      <c r="E147" s="34"/>
      <c r="F147" s="34"/>
      <c r="G147" s="34"/>
      <c r="H147" s="34"/>
      <c r="I147" s="34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</row>
    <row r="148" spans="1:54" x14ac:dyDescent="0.2">
      <c r="A148" s="34"/>
      <c r="B148" s="34"/>
      <c r="C148" s="34"/>
      <c r="D148" s="34"/>
      <c r="E148" s="34"/>
      <c r="F148" s="34"/>
      <c r="G148" s="34"/>
      <c r="H148" s="34"/>
      <c r="I148" s="34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</row>
    <row r="149" spans="1:54" x14ac:dyDescent="0.2">
      <c r="A149" s="34"/>
      <c r="B149" s="34"/>
      <c r="C149" s="34"/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</row>
    <row r="150" spans="1:54" x14ac:dyDescent="0.2">
      <c r="A150" s="34"/>
      <c r="B150" s="34"/>
      <c r="C150" s="34"/>
      <c r="D150" s="34"/>
      <c r="E150" s="34"/>
      <c r="F150" s="34"/>
      <c r="G150" s="34"/>
      <c r="H150" s="34"/>
      <c r="I150" s="34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</row>
    <row r="151" spans="1:54" x14ac:dyDescent="0.2">
      <c r="A151" s="34"/>
      <c r="B151" s="34"/>
      <c r="C151" s="34"/>
      <c r="D151" s="34"/>
      <c r="E151" s="34"/>
      <c r="F151" s="34"/>
      <c r="G151" s="34"/>
      <c r="H151" s="34"/>
      <c r="I151" s="34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</row>
    <row r="152" spans="1:54" x14ac:dyDescent="0.2">
      <c r="A152" s="34"/>
      <c r="B152" s="34"/>
      <c r="C152" s="34"/>
      <c r="D152" s="34"/>
      <c r="E152" s="34"/>
      <c r="F152" s="34"/>
      <c r="G152" s="34"/>
      <c r="H152" s="34"/>
      <c r="I152" s="34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</row>
    <row r="153" spans="1:54" x14ac:dyDescent="0.2">
      <c r="A153" s="34"/>
      <c r="B153" s="34"/>
      <c r="C153" s="34"/>
      <c r="D153" s="34"/>
      <c r="E153" s="34"/>
      <c r="F153" s="34"/>
      <c r="G153" s="34"/>
      <c r="H153" s="34"/>
      <c r="I153" s="34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</row>
    <row r="154" spans="1:54" x14ac:dyDescent="0.2">
      <c r="A154" s="34"/>
      <c r="B154" s="34"/>
      <c r="C154" s="34"/>
      <c r="D154" s="34"/>
      <c r="E154" s="34"/>
      <c r="F154" s="34"/>
      <c r="G154" s="34"/>
      <c r="H154" s="34"/>
      <c r="I154" s="34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</row>
    <row r="155" spans="1:54" x14ac:dyDescent="0.2">
      <c r="A155" s="34"/>
      <c r="B155" s="34"/>
      <c r="C155" s="34"/>
      <c r="D155" s="34"/>
      <c r="E155" s="34"/>
      <c r="F155" s="34"/>
      <c r="G155" s="34"/>
      <c r="H155" s="34"/>
      <c r="I155" s="34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</row>
    <row r="156" spans="1:54" x14ac:dyDescent="0.2">
      <c r="A156" s="34"/>
      <c r="B156" s="34"/>
      <c r="C156" s="34"/>
      <c r="D156" s="34"/>
      <c r="E156" s="34"/>
      <c r="F156" s="34"/>
      <c r="G156" s="34"/>
      <c r="H156" s="34"/>
      <c r="I156" s="34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</row>
    <row r="157" spans="1:54" x14ac:dyDescent="0.2">
      <c r="A157" s="34"/>
      <c r="B157" s="34"/>
      <c r="C157" s="34"/>
      <c r="D157" s="34"/>
      <c r="E157" s="34"/>
      <c r="F157" s="34"/>
      <c r="G157" s="34"/>
      <c r="H157" s="34"/>
      <c r="I157" s="34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</row>
    <row r="158" spans="1:54" x14ac:dyDescent="0.2">
      <c r="A158" s="34"/>
      <c r="B158" s="34"/>
      <c r="C158" s="34"/>
      <c r="D158" s="34"/>
      <c r="E158" s="34"/>
      <c r="F158" s="34"/>
      <c r="G158" s="34"/>
      <c r="H158" s="34"/>
      <c r="I158" s="34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</row>
    <row r="159" spans="1:54" x14ac:dyDescent="0.2">
      <c r="A159" s="34"/>
      <c r="B159" s="34"/>
      <c r="C159" s="34"/>
      <c r="D159" s="34"/>
      <c r="E159" s="34"/>
      <c r="F159" s="34"/>
      <c r="G159" s="34"/>
      <c r="H159" s="34"/>
      <c r="I159" s="34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</row>
    <row r="160" spans="1:54" x14ac:dyDescent="0.2">
      <c r="A160" s="34"/>
      <c r="B160" s="34"/>
      <c r="C160" s="34"/>
      <c r="D160" s="34"/>
      <c r="E160" s="34"/>
      <c r="F160" s="34"/>
      <c r="G160" s="34"/>
      <c r="H160" s="34"/>
      <c r="I160" s="34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</row>
    <row r="161" spans="1:54" x14ac:dyDescent="0.2">
      <c r="A161" s="34"/>
      <c r="B161" s="34"/>
      <c r="C161" s="34"/>
      <c r="D161" s="34"/>
      <c r="E161" s="34"/>
      <c r="F161" s="34"/>
      <c r="G161" s="34"/>
      <c r="H161" s="34"/>
      <c r="I161" s="34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</row>
    <row r="162" spans="1:54" x14ac:dyDescent="0.2">
      <c r="A162" s="34"/>
      <c r="B162" s="34"/>
      <c r="C162" s="34"/>
      <c r="D162" s="34"/>
      <c r="E162" s="34"/>
      <c r="F162" s="34"/>
      <c r="G162" s="34"/>
      <c r="H162" s="34"/>
      <c r="I162" s="34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</row>
    <row r="163" spans="1:54" x14ac:dyDescent="0.2">
      <c r="A163" s="34"/>
      <c r="B163" s="34"/>
      <c r="C163" s="34"/>
      <c r="D163" s="34"/>
      <c r="E163" s="34"/>
      <c r="F163" s="34"/>
      <c r="G163" s="34"/>
      <c r="H163" s="34"/>
      <c r="I163" s="34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</row>
    <row r="164" spans="1:54" x14ac:dyDescent="0.2">
      <c r="A164" s="34"/>
      <c r="B164" s="34"/>
      <c r="C164" s="34"/>
      <c r="D164" s="34"/>
      <c r="E164" s="34"/>
      <c r="F164" s="34"/>
      <c r="G164" s="34"/>
      <c r="H164" s="34"/>
      <c r="I164" s="34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</row>
    <row r="165" spans="1:54" x14ac:dyDescent="0.2">
      <c r="A165" s="34"/>
      <c r="B165" s="34"/>
      <c r="C165" s="34"/>
      <c r="D165" s="34"/>
      <c r="E165" s="34"/>
      <c r="F165" s="34"/>
      <c r="G165" s="34"/>
      <c r="H165" s="34"/>
      <c r="I165" s="34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</row>
    <row r="166" spans="1:54" x14ac:dyDescent="0.2">
      <c r="A166" s="34"/>
      <c r="B166" s="34"/>
      <c r="C166" s="3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</row>
    <row r="167" spans="1:54" x14ac:dyDescent="0.2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</row>
    <row r="168" spans="1:54" x14ac:dyDescent="0.2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</row>
    <row r="169" spans="1:54" x14ac:dyDescent="0.2">
      <c r="A169" s="34"/>
      <c r="B169" s="34"/>
      <c r="C169" s="34"/>
      <c r="D169" s="34"/>
      <c r="E169" s="34"/>
      <c r="F169" s="34"/>
      <c r="G169" s="34"/>
      <c r="H169" s="34"/>
      <c r="I169" s="34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</row>
    <row r="170" spans="1:54" x14ac:dyDescent="0.2">
      <c r="A170" s="34"/>
      <c r="B170" s="34"/>
      <c r="C170" s="34"/>
      <c r="D170" s="34"/>
      <c r="E170" s="34"/>
      <c r="F170" s="34"/>
      <c r="G170" s="34"/>
      <c r="H170" s="34"/>
      <c r="I170" s="34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</row>
    <row r="171" spans="1:54" x14ac:dyDescent="0.2">
      <c r="A171" s="34"/>
      <c r="B171" s="34"/>
      <c r="C171" s="34"/>
      <c r="D171" s="34"/>
      <c r="E171" s="34"/>
      <c r="F171" s="34"/>
      <c r="G171" s="34"/>
      <c r="H171" s="34"/>
      <c r="I171" s="34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</row>
    <row r="172" spans="1:54" x14ac:dyDescent="0.2">
      <c r="A172" s="34"/>
      <c r="B172" s="34"/>
      <c r="C172" s="34"/>
      <c r="D172" s="34"/>
      <c r="E172" s="34"/>
      <c r="F172" s="34"/>
      <c r="G172" s="34"/>
      <c r="H172" s="34"/>
      <c r="I172" s="34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</row>
    <row r="173" spans="1:54" x14ac:dyDescent="0.2">
      <c r="A173" s="34"/>
      <c r="B173" s="34"/>
      <c r="C173" s="34"/>
      <c r="D173" s="34"/>
      <c r="E173" s="34"/>
      <c r="F173" s="34"/>
      <c r="G173" s="34"/>
      <c r="H173" s="34"/>
      <c r="I173" s="34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</row>
    <row r="174" spans="1:54" x14ac:dyDescent="0.2">
      <c r="A174" s="34"/>
      <c r="B174" s="34"/>
      <c r="C174" s="34"/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</row>
    <row r="175" spans="1:54" x14ac:dyDescent="0.2">
      <c r="A175" s="34"/>
      <c r="B175" s="34"/>
      <c r="C175" s="34"/>
      <c r="D175" s="34"/>
      <c r="E175" s="34"/>
      <c r="F175" s="34"/>
      <c r="G175" s="34"/>
      <c r="H175" s="34"/>
      <c r="I175" s="34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</row>
    <row r="176" spans="1:54" x14ac:dyDescent="0.2">
      <c r="A176" s="34"/>
      <c r="B176" s="34"/>
      <c r="C176" s="34"/>
      <c r="D176" s="34"/>
      <c r="E176" s="34"/>
      <c r="F176" s="34"/>
      <c r="G176" s="34"/>
      <c r="H176" s="34"/>
      <c r="I176" s="34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</row>
    <row r="177" spans="1:54" x14ac:dyDescent="0.2">
      <c r="A177" s="34"/>
      <c r="B177" s="34"/>
      <c r="C177" s="34"/>
      <c r="D177" s="34"/>
      <c r="E177" s="34"/>
      <c r="F177" s="34"/>
      <c r="G177" s="34"/>
      <c r="H177" s="34"/>
      <c r="I177" s="34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</row>
    <row r="178" spans="1:54" x14ac:dyDescent="0.2">
      <c r="A178" s="34"/>
      <c r="B178" s="34"/>
      <c r="C178" s="34"/>
      <c r="D178" s="34"/>
      <c r="E178" s="34"/>
      <c r="F178" s="34"/>
      <c r="G178" s="34"/>
      <c r="H178" s="34"/>
      <c r="I178" s="34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</row>
    <row r="179" spans="1:54" x14ac:dyDescent="0.2">
      <c r="A179" s="34"/>
      <c r="B179" s="34"/>
      <c r="C179" s="34"/>
      <c r="D179" s="34"/>
      <c r="E179" s="34"/>
      <c r="F179" s="34"/>
      <c r="G179" s="34"/>
      <c r="H179" s="34"/>
      <c r="I179" s="34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</row>
    <row r="180" spans="1:54" x14ac:dyDescent="0.2">
      <c r="A180" s="34"/>
      <c r="B180" s="34"/>
      <c r="C180" s="34"/>
      <c r="D180" s="34"/>
      <c r="E180" s="34"/>
      <c r="F180" s="34"/>
      <c r="G180" s="34"/>
      <c r="H180" s="34"/>
      <c r="I180" s="34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</row>
    <row r="181" spans="1:54" x14ac:dyDescent="0.2">
      <c r="A181" s="34"/>
      <c r="B181" s="34"/>
      <c r="C181" s="34"/>
      <c r="D181" s="34"/>
      <c r="E181" s="34"/>
      <c r="F181" s="34"/>
      <c r="G181" s="34"/>
      <c r="H181" s="34"/>
      <c r="I181" s="34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</row>
    <row r="182" spans="1:54" x14ac:dyDescent="0.2">
      <c r="A182" s="34"/>
      <c r="B182" s="34"/>
      <c r="C182" s="34"/>
      <c r="D182" s="34"/>
      <c r="E182" s="34"/>
      <c r="F182" s="34"/>
      <c r="G182" s="34"/>
      <c r="H182" s="34"/>
      <c r="I182" s="34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</row>
    <row r="183" spans="1:54" x14ac:dyDescent="0.2">
      <c r="A183" s="34"/>
      <c r="B183" s="34"/>
      <c r="C183" s="34"/>
      <c r="D183" s="34"/>
      <c r="E183" s="34"/>
      <c r="F183" s="34"/>
      <c r="G183" s="34"/>
      <c r="H183" s="34"/>
      <c r="I183" s="34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</row>
    <row r="184" spans="1:54" x14ac:dyDescent="0.2">
      <c r="A184" s="34"/>
      <c r="B184" s="34"/>
      <c r="C184" s="34"/>
      <c r="D184" s="34"/>
      <c r="E184" s="34"/>
      <c r="F184" s="34"/>
      <c r="G184" s="34"/>
      <c r="H184" s="34"/>
      <c r="I184" s="34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</row>
    <row r="185" spans="1:54" x14ac:dyDescent="0.2">
      <c r="A185" s="34"/>
      <c r="B185" s="34"/>
      <c r="C185" s="34"/>
      <c r="D185" s="34"/>
      <c r="E185" s="34"/>
      <c r="F185" s="34"/>
      <c r="G185" s="34"/>
      <c r="H185" s="34"/>
      <c r="I185" s="34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</row>
    <row r="186" spans="1:54" x14ac:dyDescent="0.2">
      <c r="A186" s="34"/>
      <c r="B186" s="34"/>
      <c r="C186" s="34"/>
      <c r="D186" s="34"/>
      <c r="E186" s="34"/>
      <c r="F186" s="34"/>
      <c r="G186" s="34"/>
      <c r="H186" s="34"/>
      <c r="I186" s="34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</row>
    <row r="187" spans="1:54" x14ac:dyDescent="0.2">
      <c r="A187" s="34"/>
      <c r="B187" s="34"/>
      <c r="C187" s="34"/>
      <c r="D187" s="34"/>
      <c r="E187" s="34"/>
      <c r="F187" s="34"/>
      <c r="G187" s="34"/>
      <c r="H187" s="34"/>
      <c r="I187" s="34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</row>
    <row r="188" spans="1:54" x14ac:dyDescent="0.2">
      <c r="A188" s="34"/>
      <c r="B188" s="34"/>
      <c r="C188" s="34"/>
      <c r="D188" s="34"/>
      <c r="E188" s="34"/>
      <c r="F188" s="34"/>
      <c r="G188" s="34"/>
      <c r="H188" s="34"/>
      <c r="I188" s="34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</row>
    <row r="189" spans="1:54" x14ac:dyDescent="0.2">
      <c r="A189" s="34"/>
      <c r="B189" s="34"/>
      <c r="C189" s="34"/>
      <c r="D189" s="34"/>
      <c r="E189" s="34"/>
      <c r="F189" s="34"/>
      <c r="G189" s="34"/>
      <c r="H189" s="34"/>
      <c r="I189" s="34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</row>
    <row r="190" spans="1:54" x14ac:dyDescent="0.2">
      <c r="A190" s="34"/>
      <c r="B190" s="34"/>
      <c r="C190" s="34"/>
      <c r="D190" s="34"/>
      <c r="E190" s="34"/>
      <c r="F190" s="34"/>
      <c r="G190" s="34"/>
      <c r="H190" s="34"/>
      <c r="I190" s="34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</row>
    <row r="191" spans="1:54" x14ac:dyDescent="0.2">
      <c r="A191" s="34"/>
      <c r="B191" s="34"/>
      <c r="C191" s="3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</row>
    <row r="192" spans="1:54" x14ac:dyDescent="0.2">
      <c r="A192" s="34"/>
      <c r="B192" s="34"/>
      <c r="C192" s="34"/>
      <c r="D192" s="34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</row>
    <row r="193" spans="1:54" x14ac:dyDescent="0.2">
      <c r="A193" s="34"/>
      <c r="B193" s="34"/>
      <c r="C193" s="34"/>
      <c r="D193" s="34"/>
      <c r="E193" s="34"/>
      <c r="F193" s="34"/>
      <c r="G193" s="34"/>
      <c r="H193" s="34"/>
      <c r="I193" s="34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</row>
    <row r="194" spans="1:54" x14ac:dyDescent="0.2">
      <c r="A194" s="34"/>
      <c r="B194" s="34"/>
      <c r="C194" s="34"/>
      <c r="D194" s="34"/>
      <c r="E194" s="34"/>
      <c r="F194" s="34"/>
      <c r="G194" s="34"/>
      <c r="H194" s="34"/>
      <c r="I194" s="34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</row>
    <row r="195" spans="1:54" x14ac:dyDescent="0.2">
      <c r="A195" s="34"/>
      <c r="B195" s="34"/>
      <c r="C195" s="34"/>
      <c r="D195" s="34"/>
      <c r="E195" s="34"/>
      <c r="F195" s="34"/>
      <c r="G195" s="34"/>
      <c r="H195" s="34"/>
      <c r="I195" s="34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</row>
    <row r="196" spans="1:54" x14ac:dyDescent="0.2">
      <c r="A196" s="34"/>
      <c r="B196" s="34"/>
      <c r="C196" s="34"/>
      <c r="D196" s="34"/>
      <c r="E196" s="34"/>
      <c r="F196" s="34"/>
      <c r="G196" s="34"/>
      <c r="H196" s="34"/>
      <c r="I196" s="34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</row>
    <row r="197" spans="1:54" x14ac:dyDescent="0.2">
      <c r="A197" s="34"/>
      <c r="B197" s="34"/>
      <c r="C197" s="34"/>
      <c r="D197" s="34"/>
      <c r="E197" s="34"/>
      <c r="F197" s="34"/>
      <c r="G197" s="34"/>
      <c r="H197" s="34"/>
      <c r="I197" s="34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</row>
    <row r="198" spans="1:54" x14ac:dyDescent="0.2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</row>
    <row r="199" spans="1:54" x14ac:dyDescent="0.2">
      <c r="A199" s="34"/>
      <c r="B199" s="34"/>
      <c r="C199" s="34"/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</row>
    <row r="200" spans="1:54" x14ac:dyDescent="0.2">
      <c r="A200" s="34"/>
      <c r="B200" s="34"/>
      <c r="C200" s="34"/>
      <c r="D200" s="34"/>
      <c r="E200" s="34"/>
      <c r="F200" s="34"/>
      <c r="G200" s="34"/>
      <c r="H200" s="34"/>
      <c r="I200" s="34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</row>
  </sheetData>
  <mergeCells count="43">
    <mergeCell ref="B16:D16"/>
    <mergeCell ref="B18:D18"/>
    <mergeCell ref="P11:T11"/>
    <mergeCell ref="P12:T12"/>
    <mergeCell ref="P13:T13"/>
    <mergeCell ref="P14:T14"/>
    <mergeCell ref="P15:T15"/>
    <mergeCell ref="P16:T16"/>
    <mergeCell ref="B8:D8"/>
    <mergeCell ref="E8:I8"/>
    <mergeCell ref="J8:O8"/>
    <mergeCell ref="P8:T8"/>
    <mergeCell ref="P9:T9"/>
    <mergeCell ref="P10:T10"/>
    <mergeCell ref="S5:T5"/>
    <mergeCell ref="B6:D6"/>
    <mergeCell ref="E6:F6"/>
    <mergeCell ref="G6:I6"/>
    <mergeCell ref="J6:L6"/>
    <mergeCell ref="M6:N6"/>
    <mergeCell ref="O6:P6"/>
    <mergeCell ref="Q6:R6"/>
    <mergeCell ref="S6:T6"/>
    <mergeCell ref="O4:P4"/>
    <mergeCell ref="Q4:R4"/>
    <mergeCell ref="S4:T4"/>
    <mergeCell ref="B5:D5"/>
    <mergeCell ref="E5:F5"/>
    <mergeCell ref="G5:I5"/>
    <mergeCell ref="J5:L5"/>
    <mergeCell ref="M5:N5"/>
    <mergeCell ref="O5:P5"/>
    <mergeCell ref="Q5:R5"/>
    <mergeCell ref="B2:T2"/>
    <mergeCell ref="B3:F3"/>
    <mergeCell ref="G3:L3"/>
    <mergeCell ref="M3:P3"/>
    <mergeCell ref="Q3:T3"/>
    <mergeCell ref="B4:D4"/>
    <mergeCell ref="E4:F4"/>
    <mergeCell ref="G4:I4"/>
    <mergeCell ref="J4:L4"/>
    <mergeCell ref="M4:N4"/>
  </mergeCells>
  <conditionalFormatting sqref="I10:J15">
    <cfRule type="cellIs" dxfId="10" priority="2" stopIfTrue="1" operator="greaterThanOrEqual">
      <formula>0</formula>
    </cfRule>
    <cfRule type="cellIs" dxfId="9" priority="3" stopIfTrue="1" operator="lessThan">
      <formula>0</formula>
    </cfRule>
  </conditionalFormatting>
  <conditionalFormatting sqref="N10:O15">
    <cfRule type="cellIs" dxfId="7" priority="5" stopIfTrue="1" operator="greaterThanOrEqual">
      <formula>0</formula>
    </cfRule>
    <cfRule type="cellIs" dxfId="6" priority="6" stopIfTrue="1" operator="lessThan">
      <formula>0</formula>
    </cfRule>
  </conditionalFormatting>
  <conditionalFormatting sqref="I16:J16">
    <cfRule type="cellIs" dxfId="4" priority="8" stopIfTrue="1" operator="greaterThanOrEqual">
      <formula>0</formula>
    </cfRule>
    <cfRule type="cellIs" dxfId="3" priority="9" stopIfTrue="1" operator="lessThan">
      <formula>0</formula>
    </cfRule>
  </conditionalFormatting>
  <conditionalFormatting sqref="N16:O16">
    <cfRule type="cellIs" dxfId="1" priority="11" stopIfTrue="1" operator="greaterThanOrEqual">
      <formula>0</formula>
    </cfRule>
    <cfRule type="cellIs" dxfId="0" priority="12" stopIfTrue="1" operator="lessThan">
      <formula>0</formula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FA28FE14-3C01-9D4F-97E5-82F7600681D0}">
            <xm:f>NOT(ISERROR(SEARCH("+",I10)))</xm:f>
            <xm:f>"+"</xm:f>
            <x14:dxf>
              <font>
                <color rgb="FFFFFFFF"/>
              </font>
            </x14:dxf>
          </x14:cfRule>
          <xm:sqref>I10:J15</xm:sqref>
        </x14:conditionalFormatting>
        <x14:conditionalFormatting xmlns:xm="http://schemas.microsoft.com/office/excel/2006/main">
          <x14:cfRule type="containsText" priority="4" stopIfTrue="1" operator="containsText" id="{75867DBB-9377-2041-B166-4B98CDF379EE}">
            <xm:f>NOT(ISERROR(SEARCH("+",N10)))</xm:f>
            <xm:f>"+"</xm:f>
            <x14:dxf>
              <font>
                <color rgb="FFFFFFFF"/>
              </font>
            </x14:dxf>
          </x14:cfRule>
          <xm:sqref>N10:O15</xm:sqref>
        </x14:conditionalFormatting>
        <x14:conditionalFormatting xmlns:xm="http://schemas.microsoft.com/office/excel/2006/main">
          <x14:cfRule type="containsText" priority="7" stopIfTrue="1" operator="containsText" id="{EC2E5056-4008-3541-853C-08CFBE41F41D}">
            <xm:f>NOT(ISERROR(SEARCH("+",I16)))</xm:f>
            <xm:f>"+"</xm:f>
            <x14:dxf>
              <font>
                <color rgb="FFCECECE"/>
              </font>
            </x14:dxf>
          </x14:cfRule>
          <xm:sqref>I16:J16</xm:sqref>
        </x14:conditionalFormatting>
        <x14:conditionalFormatting xmlns:xm="http://schemas.microsoft.com/office/excel/2006/main">
          <x14:cfRule type="containsText" priority="10" stopIfTrue="1" operator="containsText" id="{01F94E0F-3C9B-7A4C-80F1-FBAE5CC2CD54}">
            <xm:f>NOT(ISERROR(SEARCH("+",N16)))</xm:f>
            <xm:f>"+"</xm:f>
            <x14:dxf>
              <font>
                <color rgb="FFCECECE"/>
              </font>
            </x14:dxf>
          </x14:cfRule>
          <xm:sqref>N16:O16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58D69-DCC6-0842-9D61-EAE8ED602BCA}">
  <sheetPr codeName="Sheet1"/>
  <dimension ref="A1:W48"/>
  <sheetViews>
    <sheetView zoomScale="150" zoomScaleNormal="131" workbookViewId="0">
      <selection activeCell="B18" sqref="B18"/>
    </sheetView>
  </sheetViews>
  <sheetFormatPr baseColWidth="10" defaultRowHeight="16" x14ac:dyDescent="0.2"/>
  <cols>
    <col min="1" max="1" width="20.6640625" style="10" customWidth="1"/>
    <col min="2" max="2" width="20.6640625" style="11" customWidth="1"/>
    <col min="3" max="3" width="8.6640625" style="12" customWidth="1"/>
    <col min="4" max="4" width="218.5" style="14" customWidth="1"/>
    <col min="5" max="5" width="11.83203125" style="14" hidden="1" customWidth="1"/>
    <col min="6" max="11" width="10.83203125" style="14" hidden="1" customWidth="1"/>
    <col min="12" max="12" width="12" style="14" hidden="1" customWidth="1"/>
    <col min="13" max="13" width="7" style="14" hidden="1" customWidth="1"/>
    <col min="14" max="14" width="10.83203125" style="11"/>
    <col min="15" max="23" width="10.83203125" style="1"/>
  </cols>
  <sheetData>
    <row r="1" spans="1:13" ht="21" x14ac:dyDescent="0.2">
      <c r="A1" s="67" t="s">
        <v>34</v>
      </c>
      <c r="B1" s="67"/>
      <c r="C1" s="9"/>
      <c r="D1" s="12"/>
      <c r="E1" s="13"/>
      <c r="F1" s="66" t="s">
        <v>3</v>
      </c>
      <c r="G1" s="66"/>
      <c r="H1" s="66"/>
      <c r="I1" s="66"/>
      <c r="J1" s="66"/>
      <c r="K1" s="66"/>
      <c r="L1" s="66"/>
      <c r="M1" s="66"/>
    </row>
    <row r="2" spans="1:13" ht="19" x14ac:dyDescent="0.2">
      <c r="A2" s="30" t="s">
        <v>26</v>
      </c>
      <c r="B2" s="31" t="s">
        <v>27</v>
      </c>
      <c r="C2" s="9"/>
      <c r="D2" s="14" t="s">
        <v>35</v>
      </c>
      <c r="E2" s="13" t="s">
        <v>12</v>
      </c>
      <c r="F2" s="13" t="s">
        <v>4</v>
      </c>
      <c r="G2" s="13" t="s">
        <v>6</v>
      </c>
      <c r="H2" s="13" t="s">
        <v>7</v>
      </c>
      <c r="I2" s="13" t="s">
        <v>8</v>
      </c>
      <c r="J2" s="13" t="s">
        <v>5</v>
      </c>
      <c r="K2" s="13" t="s">
        <v>9</v>
      </c>
      <c r="L2" s="13" t="s">
        <v>10</v>
      </c>
      <c r="M2" s="13" t="s">
        <v>11</v>
      </c>
    </row>
    <row r="3" spans="1:13" x14ac:dyDescent="0.2">
      <c r="A3" s="4">
        <v>44470</v>
      </c>
      <c r="B3" s="5">
        <v>44500</v>
      </c>
      <c r="C3" s="26"/>
      <c r="D3" s="15"/>
      <c r="E3" s="13" t="s">
        <v>63</v>
      </c>
      <c r="F3" s="13">
        <v>6</v>
      </c>
      <c r="G3" s="16" cm="1">
        <f t="array" ref="G3">SUM(INT((WEEKDAY($A$3-{2})+$B$3-$A$3)/7))</f>
        <v>4</v>
      </c>
      <c r="H3" s="16" cm="1">
        <f t="array" ref="H3">SUM(INT((WEEKDAY($A$3-{3})+$B$3-$A$3)/7))</f>
        <v>4</v>
      </c>
      <c r="I3" s="16" cm="1">
        <f t="array" ref="I3">SUM(INT((WEEKDAY($A$3-{4})+$B$3-$A$3)/7))</f>
        <v>4</v>
      </c>
      <c r="J3" s="16" cm="1">
        <f t="array" ref="J3">SUM(INT((WEEKDAY($A$3-{5})+$B$3-$A$3)/7))</f>
        <v>4</v>
      </c>
      <c r="K3" s="16" cm="1">
        <f t="array" ref="K3">SUM(INT((WEEKDAY($A$3-{6})+$B$3-$A$3)/7))</f>
        <v>5</v>
      </c>
      <c r="L3" s="16" cm="1">
        <f t="array" ref="L3">SUM(INT((WEEKDAY($A$3-{7})+$B$3-$A$3)/7))</f>
        <v>5</v>
      </c>
      <c r="M3" s="16" cm="1">
        <f t="array" ref="M3">SUM(INT((WEEKDAY($A$3-{1})+$B$3-$A$3)/7))</f>
        <v>5</v>
      </c>
    </row>
    <row r="4" spans="1:13" x14ac:dyDescent="0.2">
      <c r="A4" s="2"/>
      <c r="B4" s="3"/>
      <c r="C4" s="9"/>
      <c r="E4" s="13"/>
      <c r="F4" s="13"/>
      <c r="G4" s="13"/>
      <c r="H4" s="13"/>
      <c r="I4" s="13"/>
      <c r="J4" s="13"/>
      <c r="K4" s="13"/>
      <c r="L4" s="13"/>
      <c r="M4" s="13"/>
    </row>
    <row r="5" spans="1:13" ht="21" x14ac:dyDescent="0.2">
      <c r="A5" s="68" t="s">
        <v>2</v>
      </c>
      <c r="B5" s="68"/>
      <c r="C5" s="9"/>
      <c r="D5" s="17" t="s">
        <v>28</v>
      </c>
      <c r="E5" s="66" t="s">
        <v>13</v>
      </c>
      <c r="F5" s="66"/>
      <c r="G5" s="66"/>
      <c r="H5" s="66"/>
      <c r="I5" s="66"/>
      <c r="J5" s="66"/>
      <c r="K5" s="66"/>
      <c r="L5" s="66"/>
      <c r="M5" s="66"/>
    </row>
    <row r="6" spans="1:13" ht="19" x14ac:dyDescent="0.2">
      <c r="A6" s="69" t="s">
        <v>33</v>
      </c>
      <c r="B6" s="69"/>
      <c r="C6" s="9"/>
      <c r="D6" s="18" t="s">
        <v>29</v>
      </c>
      <c r="E6" s="13"/>
      <c r="F6" s="13"/>
      <c r="G6" s="16">
        <f>G3*D32</f>
        <v>0</v>
      </c>
      <c r="H6" s="16">
        <f>H3*D33</f>
        <v>0</v>
      </c>
      <c r="I6" s="16">
        <f>I3*D34</f>
        <v>0</v>
      </c>
      <c r="J6" s="16">
        <f>D35*J3</f>
        <v>0</v>
      </c>
      <c r="K6" s="16">
        <f>K3*D36</f>
        <v>0</v>
      </c>
      <c r="L6" s="16">
        <f>L3*D37</f>
        <v>0</v>
      </c>
      <c r="M6" s="16">
        <f>M3*D31</f>
        <v>0</v>
      </c>
    </row>
    <row r="7" spans="1:13" x14ac:dyDescent="0.2">
      <c r="A7" s="3" t="s">
        <v>22</v>
      </c>
      <c r="B7" s="6">
        <v>250000</v>
      </c>
      <c r="C7" s="27"/>
      <c r="E7" s="13"/>
      <c r="F7" s="13"/>
      <c r="G7" s="13"/>
      <c r="H7" s="13"/>
      <c r="I7" s="13"/>
      <c r="J7" s="13"/>
      <c r="K7" s="13"/>
      <c r="L7" s="13"/>
      <c r="M7" s="13"/>
    </row>
    <row r="8" spans="1:13" x14ac:dyDescent="0.2">
      <c r="A8" s="3" t="s">
        <v>23</v>
      </c>
      <c r="B8" s="7">
        <v>7.4999999999999997E-2</v>
      </c>
      <c r="C8" s="29"/>
      <c r="E8" s="66" t="s">
        <v>14</v>
      </c>
      <c r="F8" s="66"/>
      <c r="G8" s="66"/>
      <c r="H8" s="66"/>
      <c r="I8" s="19"/>
      <c r="J8" s="66"/>
      <c r="K8" s="66"/>
      <c r="L8" s="66"/>
      <c r="M8" s="66"/>
    </row>
    <row r="9" spans="1:13" x14ac:dyDescent="0.2">
      <c r="A9" s="3" t="s">
        <v>24</v>
      </c>
      <c r="B9" s="8">
        <f>(1-B8)*B7</f>
        <v>231250</v>
      </c>
      <c r="C9" s="28"/>
      <c r="E9" s="13"/>
      <c r="F9" s="14" t="s">
        <v>0</v>
      </c>
      <c r="G9" s="14" t="s">
        <v>1</v>
      </c>
      <c r="H9" s="14" t="s">
        <v>20</v>
      </c>
      <c r="I9" s="13"/>
      <c r="J9" s="13"/>
      <c r="K9" s="13"/>
      <c r="L9" s="13"/>
      <c r="M9" s="13"/>
    </row>
    <row r="10" spans="1:13" x14ac:dyDescent="0.2">
      <c r="A10" s="3"/>
      <c r="B10" s="3"/>
      <c r="C10" s="9"/>
      <c r="E10" s="13" t="s">
        <v>15</v>
      </c>
      <c r="F10" s="20">
        <v>44470</v>
      </c>
      <c r="G10" s="20">
        <v>44471</v>
      </c>
      <c r="H10" s="13" t="s">
        <v>64</v>
      </c>
      <c r="I10" s="13"/>
      <c r="J10" s="13">
        <v>0</v>
      </c>
      <c r="K10" s="21"/>
      <c r="L10" s="22"/>
      <c r="M10" s="13"/>
    </row>
    <row r="11" spans="1:13" x14ac:dyDescent="0.2">
      <c r="A11" s="70"/>
      <c r="B11" s="70"/>
      <c r="C11" s="9"/>
      <c r="E11" s="13" t="s">
        <v>16</v>
      </c>
      <c r="F11" s="20">
        <v>44472</v>
      </c>
      <c r="G11" s="20">
        <v>44478</v>
      </c>
      <c r="H11" s="13" t="s">
        <v>21</v>
      </c>
      <c r="I11" s="13"/>
      <c r="J11" s="13">
        <v>0</v>
      </c>
      <c r="K11" s="21"/>
      <c r="L11" s="22"/>
      <c r="M11" s="13"/>
    </row>
    <row r="12" spans="1:13" x14ac:dyDescent="0.2">
      <c r="A12" s="9"/>
      <c r="B12" s="9"/>
      <c r="C12" s="9"/>
      <c r="E12" s="13" t="s">
        <v>17</v>
      </c>
      <c r="F12" s="20">
        <v>44479</v>
      </c>
      <c r="G12" s="20">
        <v>44485</v>
      </c>
      <c r="H12" s="13" t="s">
        <v>21</v>
      </c>
      <c r="I12" s="13"/>
      <c r="J12" s="13">
        <v>0</v>
      </c>
      <c r="K12" s="21"/>
      <c r="L12" s="22"/>
      <c r="M12" s="13"/>
    </row>
    <row r="13" spans="1:13" x14ac:dyDescent="0.2">
      <c r="A13" s="9"/>
      <c r="B13" s="9"/>
      <c r="C13" s="9"/>
      <c r="E13" s="13" t="s">
        <v>18</v>
      </c>
      <c r="F13" s="20">
        <v>44486</v>
      </c>
      <c r="G13" s="20">
        <v>44492</v>
      </c>
      <c r="H13" s="13" t="s">
        <v>21</v>
      </c>
      <c r="I13" s="13"/>
      <c r="J13" s="13">
        <v>0</v>
      </c>
      <c r="K13" s="21"/>
      <c r="L13" s="22"/>
      <c r="M13" s="13"/>
    </row>
    <row r="14" spans="1:13" ht="21" x14ac:dyDescent="0.2">
      <c r="A14" s="65" t="s">
        <v>25</v>
      </c>
      <c r="B14" s="65"/>
      <c r="C14" s="9"/>
      <c r="E14" s="13" t="s">
        <v>19</v>
      </c>
      <c r="F14" s="20">
        <v>44493</v>
      </c>
      <c r="G14" s="20">
        <v>44499</v>
      </c>
      <c r="H14" s="13" t="s">
        <v>21</v>
      </c>
      <c r="I14" s="13"/>
      <c r="J14" s="13">
        <v>0</v>
      </c>
      <c r="K14" s="21"/>
      <c r="L14" s="22"/>
      <c r="M14" s="13"/>
    </row>
    <row r="15" spans="1:13" x14ac:dyDescent="0.2">
      <c r="A15" t="s">
        <v>15</v>
      </c>
      <c r="B15" s="32">
        <v>0.15</v>
      </c>
      <c r="C15" t="s">
        <v>64</v>
      </c>
      <c r="E15" s="13" t="s">
        <v>36</v>
      </c>
      <c r="F15" s="20">
        <v>44500</v>
      </c>
      <c r="G15" s="20">
        <v>44500</v>
      </c>
      <c r="H15" s="13" t="s">
        <v>65</v>
      </c>
      <c r="I15" s="13"/>
      <c r="J15" s="13">
        <v>0</v>
      </c>
      <c r="K15" s="21"/>
      <c r="L15" s="22"/>
      <c r="M15" s="13"/>
    </row>
    <row r="16" spans="1:13" x14ac:dyDescent="0.2">
      <c r="A16" t="s">
        <v>16</v>
      </c>
      <c r="B16" s="32">
        <v>0.18</v>
      </c>
      <c r="C16" t="s">
        <v>21</v>
      </c>
      <c r="D16" s="14" t="s">
        <v>30</v>
      </c>
    </row>
    <row r="17" spans="1:13" x14ac:dyDescent="0.2">
      <c r="A17" t="s">
        <v>17</v>
      </c>
      <c r="B17" s="32">
        <v>0.22</v>
      </c>
      <c r="C17" t="s">
        <v>21</v>
      </c>
      <c r="D17" s="14" t="s">
        <v>31</v>
      </c>
      <c r="E17" s="23"/>
      <c r="F17" s="23"/>
      <c r="G17" s="23"/>
      <c r="H17" s="23"/>
      <c r="I17" s="23"/>
      <c r="J17" s="23"/>
      <c r="K17" s="23"/>
      <c r="L17" s="23"/>
      <c r="M17" s="23"/>
    </row>
    <row r="18" spans="1:13" x14ac:dyDescent="0.2">
      <c r="A18" t="s">
        <v>18</v>
      </c>
      <c r="B18" s="32">
        <v>0.18</v>
      </c>
      <c r="C18" t="s">
        <v>21</v>
      </c>
      <c r="H18" s="24"/>
    </row>
    <row r="19" spans="1:13" x14ac:dyDescent="0.2">
      <c r="A19" t="s">
        <v>19</v>
      </c>
      <c r="B19" s="32">
        <v>0.2</v>
      </c>
      <c r="C19" t="s">
        <v>21</v>
      </c>
      <c r="H19" s="24"/>
    </row>
    <row r="20" spans="1:13" x14ac:dyDescent="0.2">
      <c r="A20" t="s">
        <v>36</v>
      </c>
      <c r="B20" s="32">
        <v>7.0000000000000007E-2</v>
      </c>
      <c r="C20" t="s">
        <v>65</v>
      </c>
      <c r="H20" s="24"/>
    </row>
    <row r="21" spans="1:13" x14ac:dyDescent="0.2">
      <c r="A21" t="s">
        <v>37</v>
      </c>
      <c r="B21" s="33">
        <f>SUM(B15:B20)</f>
        <v>1</v>
      </c>
      <c r="C21"/>
      <c r="D21" s="14" t="s">
        <v>32</v>
      </c>
      <c r="H21" s="24"/>
    </row>
    <row r="22" spans="1:13" x14ac:dyDescent="0.2">
      <c r="H22" s="24"/>
    </row>
    <row r="23" spans="1:13" x14ac:dyDescent="0.2">
      <c r="D23" s="15"/>
    </row>
    <row r="41" spans="4:4" x14ac:dyDescent="0.2">
      <c r="D41" s="11"/>
    </row>
    <row r="42" spans="4:4" x14ac:dyDescent="0.2">
      <c r="D42" s="11"/>
    </row>
    <row r="43" spans="4:4" x14ac:dyDescent="0.2">
      <c r="D43" s="25"/>
    </row>
    <row r="44" spans="4:4" x14ac:dyDescent="0.2">
      <c r="D44" s="25"/>
    </row>
    <row r="45" spans="4:4" x14ac:dyDescent="0.2">
      <c r="D45" s="25"/>
    </row>
    <row r="46" spans="4:4" x14ac:dyDescent="0.2">
      <c r="D46" s="25"/>
    </row>
    <row r="47" spans="4:4" x14ac:dyDescent="0.2">
      <c r="D47" s="25"/>
    </row>
    <row r="48" spans="4:4" x14ac:dyDescent="0.2">
      <c r="D48" s="11"/>
    </row>
  </sheetData>
  <mergeCells count="9">
    <mergeCell ref="A14:B14"/>
    <mergeCell ref="E5:M5"/>
    <mergeCell ref="E8:H8"/>
    <mergeCell ref="J8:M8"/>
    <mergeCell ref="A1:B1"/>
    <mergeCell ref="A5:B5"/>
    <mergeCell ref="A6:B6"/>
    <mergeCell ref="F1:M1"/>
    <mergeCell ref="A11:B1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heet1.countDays">
                <anchor moveWithCells="1" sizeWithCells="1">
                  <from>
                    <xdr:col>0</xdr:col>
                    <xdr:colOff>0</xdr:colOff>
                    <xdr:row>10</xdr:row>
                    <xdr:rowOff>12700</xdr:rowOff>
                  </from>
                  <to>
                    <xdr:col>2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buildNewSheet">
                <anchor moveWithCells="1" siz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2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heet1.clear">
                <anchor moveWithCells="1" sizeWithCells="1">
                  <from>
                    <xdr:col>3</xdr:col>
                    <xdr:colOff>12700</xdr:colOff>
                    <xdr:row>2</xdr:row>
                    <xdr:rowOff>12700</xdr:rowOff>
                  </from>
                  <to>
                    <xdr:col>3</xdr:col>
                    <xdr:colOff>3162300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October</vt:lpstr>
      <vt:lpstr>INPUT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Seletto</dc:creator>
  <cp:lastModifiedBy>Nicholas Seletto</cp:lastModifiedBy>
  <dcterms:created xsi:type="dcterms:W3CDTF">2021-04-06T02:31:00Z</dcterms:created>
  <dcterms:modified xsi:type="dcterms:W3CDTF">2021-11-04T04:05:23Z</dcterms:modified>
</cp:coreProperties>
</file>
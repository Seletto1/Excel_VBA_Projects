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ckseletto/Desktop/Stephanie/"/>
    </mc:Choice>
  </mc:AlternateContent>
  <xr:revisionPtr revIDLastSave="0" documentId="13_ncr:1_{3D9190D4-64C0-0341-BDF8-18C3D26DEAC1}" xr6:coauthVersionLast="47" xr6:coauthVersionMax="47" xr10:uidLastSave="{00000000-0000-0000-0000-000000000000}"/>
  <bookViews>
    <workbookView xWindow="0" yWindow="0" windowWidth="28800" windowHeight="18000" xr2:uid="{0DF8B10C-4D70-5547-A9F7-F6EC466505F0}"/>
  </bookViews>
  <sheets>
    <sheet name="Planner" sheetId="1" r:id="rId1"/>
  </sheets>
  <definedNames>
    <definedName name="solver_adj" localSheetId="0" hidden="1">Planner!$H$37:$J$37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Planner!$H$37:$J$37</definedName>
    <definedName name="solver_lhs2" localSheetId="0" hidden="1">Planner!$H$5:$J$5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opt" localSheetId="0" hidden="1">Planner!$N$37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4</definedName>
    <definedName name="solver_rhs1" localSheetId="0" hidden="1">"integer"</definedName>
    <definedName name="solver_rhs2" localSheetId="0" hidden="1">integer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1" l="1"/>
  <c r="N37" i="1" s="1"/>
  <c r="K37" i="1"/>
  <c r="L36" i="1"/>
  <c r="N36" i="1" s="1"/>
  <c r="K36" i="1"/>
  <c r="L35" i="1"/>
  <c r="N35" i="1" s="1"/>
  <c r="K35" i="1"/>
  <c r="L34" i="1"/>
  <c r="N34" i="1" s="1"/>
  <c r="K34" i="1"/>
  <c r="L32" i="1"/>
  <c r="N32" i="1" s="1"/>
  <c r="K32" i="1"/>
  <c r="L31" i="1"/>
  <c r="N31" i="1" s="1"/>
  <c r="K31" i="1"/>
  <c r="L30" i="1"/>
  <c r="N30" i="1" s="1"/>
  <c r="K30" i="1"/>
  <c r="L29" i="1"/>
  <c r="N29" i="1" s="1"/>
  <c r="K29" i="1"/>
  <c r="L27" i="1"/>
  <c r="N27" i="1" s="1"/>
  <c r="K27" i="1"/>
  <c r="L26" i="1"/>
  <c r="N26" i="1" s="1"/>
  <c r="K26" i="1"/>
  <c r="L25" i="1"/>
  <c r="N25" i="1" s="1"/>
  <c r="K25" i="1"/>
  <c r="L24" i="1"/>
  <c r="N24" i="1" s="1"/>
  <c r="K24" i="1"/>
  <c r="L22" i="1"/>
  <c r="N22" i="1" s="1"/>
  <c r="K22" i="1"/>
  <c r="L21" i="1"/>
  <c r="N21" i="1" s="1"/>
  <c r="K21" i="1"/>
  <c r="L20" i="1"/>
  <c r="N20" i="1" s="1"/>
  <c r="K20" i="1"/>
  <c r="L19" i="1"/>
  <c r="N19" i="1" s="1"/>
  <c r="K19" i="1"/>
  <c r="L17" i="1"/>
  <c r="N17" i="1" s="1"/>
  <c r="K17" i="1"/>
  <c r="L16" i="1"/>
  <c r="N16" i="1" s="1"/>
  <c r="K16" i="1"/>
  <c r="L15" i="1"/>
  <c r="N15" i="1" s="1"/>
  <c r="K15" i="1"/>
  <c r="L14" i="1"/>
  <c r="N14" i="1" s="1"/>
  <c r="K14" i="1"/>
  <c r="L12" i="1"/>
  <c r="N12" i="1" s="1"/>
  <c r="K12" i="1"/>
  <c r="L11" i="1"/>
  <c r="N11" i="1" s="1"/>
  <c r="K11" i="1"/>
  <c r="L10" i="1"/>
  <c r="N10" i="1" s="1"/>
  <c r="K10" i="1"/>
  <c r="L9" i="1"/>
  <c r="N9" i="1" s="1"/>
  <c r="K9" i="1"/>
  <c r="L7" i="1"/>
  <c r="N7" i="1" s="1"/>
  <c r="K7" i="1"/>
  <c r="L6" i="1"/>
  <c r="N6" i="1" s="1"/>
  <c r="K6" i="1"/>
  <c r="L5" i="1"/>
  <c r="N5" i="1" s="1"/>
  <c r="K5" i="1"/>
  <c r="L4" i="1"/>
  <c r="N4" i="1" s="1"/>
  <c r="K4" i="1"/>
  <c r="F48" i="1" l="1"/>
  <c r="H13" i="1"/>
  <c r="J48" i="1"/>
  <c r="H48" i="1"/>
  <c r="D48" i="1"/>
  <c r="T4" i="1"/>
  <c r="T5" i="1"/>
  <c r="T6" i="1"/>
  <c r="T7" i="1"/>
  <c r="T9" i="1"/>
  <c r="T10" i="1"/>
  <c r="T11" i="1"/>
  <c r="T12" i="1"/>
  <c r="T14" i="1"/>
  <c r="T15" i="1"/>
  <c r="T16" i="1"/>
  <c r="T17" i="1"/>
  <c r="T19" i="1"/>
  <c r="T20" i="1"/>
  <c r="T21" i="1"/>
  <c r="T22" i="1"/>
  <c r="T24" i="1"/>
  <c r="T25" i="1"/>
  <c r="T26" i="1"/>
  <c r="T27" i="1"/>
  <c r="T29" i="1"/>
  <c r="T30" i="1"/>
  <c r="T31" i="1"/>
  <c r="T32" i="1"/>
  <c r="T34" i="1"/>
  <c r="T35" i="1"/>
  <c r="T36" i="1"/>
  <c r="T37" i="1"/>
  <c r="J44" i="1"/>
  <c r="H44" i="1"/>
  <c r="F44" i="1"/>
  <c r="D44" i="1"/>
  <c r="J42" i="1"/>
  <c r="H42" i="1"/>
  <c r="F42" i="1"/>
  <c r="D42" i="1"/>
  <c r="F45" i="1" l="1"/>
  <c r="J46" i="1"/>
  <c r="H46" i="1"/>
  <c r="F46" i="1"/>
  <c r="D46" i="1"/>
  <c r="D45" i="1"/>
  <c r="J45" i="1"/>
  <c r="H45" i="1"/>
  <c r="L44" i="1"/>
  <c r="L42" i="1"/>
  <c r="L48" i="1"/>
  <c r="I38" i="1"/>
  <c r="J38" i="1"/>
  <c r="H38" i="1"/>
  <c r="I33" i="1"/>
  <c r="J33" i="1"/>
  <c r="H33" i="1"/>
  <c r="I28" i="1"/>
  <c r="J28" i="1"/>
  <c r="H28" i="1"/>
  <c r="I23" i="1"/>
  <c r="J23" i="1"/>
  <c r="H23" i="1"/>
  <c r="I18" i="1"/>
  <c r="J18" i="1"/>
  <c r="H18" i="1"/>
  <c r="I13" i="1"/>
  <c r="J13" i="1"/>
  <c r="I8" i="1"/>
  <c r="J8" i="1"/>
  <c r="H8" i="1"/>
  <c r="L46" i="1" l="1"/>
  <c r="T38" i="1"/>
  <c r="T23" i="1"/>
  <c r="T18" i="1"/>
  <c r="L45" i="1"/>
  <c r="T8" i="1"/>
  <c r="T28" i="1"/>
  <c r="T13" i="1"/>
  <c r="T33" i="1"/>
  <c r="F9" i="1"/>
  <c r="F10" i="1"/>
  <c r="G10" i="1" s="1"/>
  <c r="F11" i="1"/>
  <c r="G11" i="1" s="1"/>
  <c r="F12" i="1"/>
  <c r="G12" i="1" s="1"/>
  <c r="F14" i="1"/>
  <c r="F15" i="1"/>
  <c r="G15" i="1" s="1"/>
  <c r="F16" i="1"/>
  <c r="G16" i="1" s="1"/>
  <c r="F17" i="1"/>
  <c r="G17" i="1" s="1"/>
  <c r="F19" i="1"/>
  <c r="G19" i="1" s="1"/>
  <c r="F20" i="1"/>
  <c r="G20" i="1" s="1"/>
  <c r="F21" i="1"/>
  <c r="F22" i="1"/>
  <c r="G22" i="1" s="1"/>
  <c r="F24" i="1"/>
  <c r="G24" i="1" s="1"/>
  <c r="F25" i="1"/>
  <c r="F26" i="1"/>
  <c r="G26" i="1" s="1"/>
  <c r="F27" i="1"/>
  <c r="G27" i="1" s="1"/>
  <c r="F29" i="1"/>
  <c r="F30" i="1"/>
  <c r="G30" i="1" s="1"/>
  <c r="F31" i="1"/>
  <c r="G31" i="1" s="1"/>
  <c r="F32" i="1"/>
  <c r="G32" i="1" s="1"/>
  <c r="F34" i="1"/>
  <c r="F35" i="1"/>
  <c r="G35" i="1" s="1"/>
  <c r="F36" i="1"/>
  <c r="G36" i="1" s="1"/>
  <c r="F37" i="1"/>
  <c r="G37" i="1" s="1"/>
  <c r="F5" i="1"/>
  <c r="F6" i="1"/>
  <c r="F7" i="1"/>
  <c r="F4" i="1"/>
  <c r="C28" i="1"/>
  <c r="D38" i="1"/>
  <c r="E38" i="1"/>
  <c r="C38" i="1"/>
  <c r="D33" i="1"/>
  <c r="E33" i="1"/>
  <c r="C33" i="1"/>
  <c r="D28" i="1"/>
  <c r="E28" i="1"/>
  <c r="D23" i="1"/>
  <c r="E23" i="1"/>
  <c r="C23" i="1"/>
  <c r="D18" i="1"/>
  <c r="E18" i="1"/>
  <c r="C18" i="1"/>
  <c r="D13" i="1"/>
  <c r="E13" i="1"/>
  <c r="C13" i="1"/>
  <c r="D8" i="1"/>
  <c r="E8" i="1"/>
  <c r="C8" i="1"/>
  <c r="F43" i="1" l="1"/>
  <c r="F47" i="1" s="1"/>
  <c r="J43" i="1"/>
  <c r="J47" i="1" s="1"/>
  <c r="G4" i="1"/>
  <c r="D43" i="1"/>
  <c r="D47" i="1" s="1"/>
  <c r="G6" i="1"/>
  <c r="H43" i="1"/>
  <c r="H47" i="1" s="1"/>
  <c r="H50" i="1" s="1"/>
  <c r="G5" i="1"/>
  <c r="K8" i="1"/>
  <c r="L8" i="1"/>
  <c r="N8" i="1" s="1"/>
  <c r="M8" i="1" s="1"/>
  <c r="L28" i="1"/>
  <c r="N28" i="1" s="1"/>
  <c r="M28" i="1" s="1"/>
  <c r="K28" i="1"/>
  <c r="L23" i="1"/>
  <c r="N23" i="1" s="1"/>
  <c r="M23" i="1" s="1"/>
  <c r="K23" i="1"/>
  <c r="K38" i="1"/>
  <c r="L38" i="1"/>
  <c r="N38" i="1" s="1"/>
  <c r="M38" i="1" s="1"/>
  <c r="L13" i="1"/>
  <c r="N13" i="1" s="1"/>
  <c r="M13" i="1" s="1"/>
  <c r="K13" i="1"/>
  <c r="K18" i="1"/>
  <c r="L18" i="1"/>
  <c r="N18" i="1" s="1"/>
  <c r="M18" i="1" s="1"/>
  <c r="L33" i="1"/>
  <c r="N33" i="1" s="1"/>
  <c r="M33" i="1" s="1"/>
  <c r="K33" i="1"/>
  <c r="F8" i="1"/>
  <c r="F23" i="1"/>
  <c r="F28" i="1"/>
  <c r="F38" i="1"/>
  <c r="F33" i="1"/>
  <c r="F18" i="1"/>
  <c r="F13" i="1"/>
  <c r="G25" i="1"/>
  <c r="G28" i="1" s="1"/>
  <c r="G7" i="1"/>
  <c r="G21" i="1"/>
  <c r="G23" i="1" s="1"/>
  <c r="G34" i="1"/>
  <c r="G38" i="1" s="1"/>
  <c r="G29" i="1"/>
  <c r="G33" i="1" s="1"/>
  <c r="G14" i="1"/>
  <c r="G18" i="1" s="1"/>
  <c r="G9" i="1"/>
  <c r="G13" i="1" s="1"/>
  <c r="M4" i="1"/>
  <c r="M5" i="1"/>
  <c r="M6" i="1"/>
  <c r="M7" i="1"/>
  <c r="M9" i="1"/>
  <c r="M10" i="1"/>
  <c r="M11" i="1"/>
  <c r="M12" i="1"/>
  <c r="M14" i="1"/>
  <c r="M15" i="1"/>
  <c r="M16" i="1"/>
  <c r="M17" i="1"/>
  <c r="M19" i="1"/>
  <c r="M20" i="1"/>
  <c r="M21" i="1"/>
  <c r="M22" i="1"/>
  <c r="M24" i="1"/>
  <c r="M25" i="1"/>
  <c r="M26" i="1"/>
  <c r="M27" i="1"/>
  <c r="M29" i="1"/>
  <c r="M30" i="1"/>
  <c r="M31" i="1"/>
  <c r="M32" i="1"/>
  <c r="M34" i="1"/>
  <c r="M35" i="1"/>
  <c r="M36" i="1"/>
  <c r="M37" i="1"/>
  <c r="J49" i="1" l="1"/>
  <c r="J50" i="1"/>
  <c r="H49" i="1"/>
  <c r="F49" i="1"/>
  <c r="F50" i="1"/>
  <c r="D49" i="1"/>
  <c r="D50" i="1"/>
  <c r="L47" i="1"/>
  <c r="L43" i="1"/>
  <c r="G8" i="1"/>
  <c r="L49" i="1" l="1"/>
  <c r="L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Nicholas Seletto</author>
  </authors>
  <commentList>
    <comment ref="C2" authorId="0" shapeId="0" xr:uid="{DE74AD38-93F5-D64D-8A92-CD37AD6910DE}">
      <text>
        <r>
          <rPr>
            <sz val="10"/>
            <color rgb="FF000000"/>
            <rFont val="Tahoma"/>
            <family val="2"/>
          </rPr>
          <t xml:space="preserve">Number of hours per department per day
</t>
        </r>
      </text>
    </comment>
    <comment ref="D2" authorId="0" shapeId="0" xr:uid="{F8006256-604B-D643-8240-6521CDA932FB}">
      <text>
        <r>
          <rPr>
            <sz val="10"/>
            <color rgb="FF000000"/>
            <rFont val="Tahoma"/>
            <family val="2"/>
          </rPr>
          <t xml:space="preserve">Number of perm staff working a 7.5 hour shift 
</t>
        </r>
      </text>
    </comment>
    <comment ref="E2" authorId="0" shapeId="0" xr:uid="{E968DB05-E7AA-474B-A918-332A96715A45}">
      <text>
        <r>
          <rPr>
            <sz val="10"/>
            <color rgb="FF000000"/>
            <rFont val="Tahoma"/>
            <family val="2"/>
          </rPr>
          <t>Number of perm staff working an 8 hour shift</t>
        </r>
      </text>
    </comment>
    <comment ref="F2" authorId="0" shapeId="0" xr:uid="{76F2F814-22E1-0143-8D7C-FB66DE671F86}">
      <text>
        <r>
          <rPr>
            <sz val="10"/>
            <color rgb="FF000000"/>
            <rFont val="Tahoma"/>
            <family val="2"/>
          </rPr>
          <t>Total number of hours forecast for perm staff per department</t>
        </r>
      </text>
    </comment>
    <comment ref="G2" authorId="0" shapeId="0" xr:uid="{8B0EF4C4-C5EC-1D42-B54D-297E2310D3D8}">
      <text>
        <r>
          <rPr>
            <sz val="10"/>
            <color rgb="FF000000"/>
            <rFont val="Tahoma"/>
            <family val="2"/>
          </rPr>
          <t>Forecast number of hours to be worked by casual staff</t>
        </r>
      </text>
    </comment>
    <comment ref="H2" authorId="0" shapeId="0" xr:uid="{D805159F-75A4-7D45-B2F1-58FE856CBDD1}">
      <text>
        <r>
          <rPr>
            <sz val="10"/>
            <color rgb="FF000000"/>
            <rFont val="Tahoma"/>
            <family val="2"/>
          </rPr>
          <t>Number of 4 hour shifts for casuals to work</t>
        </r>
      </text>
    </comment>
    <comment ref="I2" authorId="0" shapeId="0" xr:uid="{580C6EBB-29D7-CA4B-91DA-38B28739267A}">
      <text>
        <r>
          <rPr>
            <sz val="10"/>
            <color rgb="FF000000"/>
            <rFont val="Calibri"/>
            <family val="2"/>
          </rPr>
          <t xml:space="preserve">Number of 5 hour shifts for casuals to work
</t>
        </r>
      </text>
    </comment>
    <comment ref="J2" authorId="0" shapeId="0" xr:uid="{098B89CA-60D6-3A40-BB54-359336BCBFAD}">
      <text>
        <r>
          <rPr>
            <sz val="10"/>
            <color rgb="FF000000"/>
            <rFont val="Calibri"/>
            <family val="2"/>
          </rPr>
          <t xml:space="preserve">Number of 7.5 hour shifts for casuals to work
</t>
        </r>
      </text>
    </comment>
    <comment ref="K2" authorId="0" shapeId="0" xr:uid="{BF788CDA-0C99-4E42-93C4-ED98395D8CAA}">
      <text>
        <r>
          <rPr>
            <sz val="10"/>
            <color rgb="FF000000"/>
            <rFont val="Tahoma"/>
            <family val="2"/>
          </rPr>
          <t>Total number of staff working in each department</t>
        </r>
      </text>
    </comment>
    <comment ref="L2" authorId="0" shapeId="0" xr:uid="{DA5D10EE-1897-464E-9FA2-86AA45CD75D6}">
      <text>
        <r>
          <rPr>
            <sz val="10"/>
            <color rgb="FF000000"/>
            <rFont val="Tahoma"/>
            <family val="2"/>
          </rPr>
          <t>Total hours in each department after all shifts have been added</t>
        </r>
      </text>
    </comment>
    <comment ref="M2" authorId="0" shapeId="0" xr:uid="{6378D721-0F2D-D74F-B981-00AF7B57EEDB}">
      <text>
        <r>
          <rPr>
            <sz val="10"/>
            <color rgb="FF000000"/>
            <rFont val="Tahoma"/>
            <family val="2"/>
          </rPr>
          <t xml:space="preserve">Difference in hours 'worked' and forecast
</t>
        </r>
        <r>
          <rPr>
            <sz val="10"/>
            <color rgb="FF000000"/>
            <rFont val="Tahoma"/>
            <family val="2"/>
          </rPr>
          <t xml:space="preserve">Yellow - Under Forecast
</t>
        </r>
        <r>
          <rPr>
            <sz val="10"/>
            <color rgb="FF000000"/>
            <rFont val="Tahoma"/>
            <family val="2"/>
          </rPr>
          <t xml:space="preserve">Green - Matches Forecast
</t>
        </r>
        <r>
          <rPr>
            <sz val="10"/>
            <color rgb="FF000000"/>
            <rFont val="Tahoma"/>
            <family val="2"/>
          </rPr>
          <t>Red - Over Forecast</t>
        </r>
      </text>
    </comment>
  </commentList>
</comments>
</file>

<file path=xl/sharedStrings.xml><?xml version="1.0" encoding="utf-8"?>
<sst xmlns="http://schemas.openxmlformats.org/spreadsheetml/2006/main" count="108" uniqueCount="43">
  <si>
    <t>DAY</t>
  </si>
  <si>
    <t>DEPARTMENT</t>
  </si>
  <si>
    <t>FORECAST</t>
  </si>
  <si>
    <t>PERM STAFF</t>
  </si>
  <si>
    <t>CASUAL</t>
  </si>
  <si>
    <t>TOTAL TEAM</t>
  </si>
  <si>
    <t>7.5 HR</t>
  </si>
  <si>
    <t>8 HR</t>
  </si>
  <si>
    <t>4 HR</t>
  </si>
  <si>
    <t>5 HR</t>
  </si>
  <si>
    <t>Sunday</t>
  </si>
  <si>
    <t>Zone 1</t>
  </si>
  <si>
    <t>Zone 2</t>
  </si>
  <si>
    <t>Monday</t>
  </si>
  <si>
    <t>Tuesday</t>
  </si>
  <si>
    <t>Wednesday</t>
  </si>
  <si>
    <t>Thursday</t>
  </si>
  <si>
    <t>Friday</t>
  </si>
  <si>
    <t>Saturday</t>
  </si>
  <si>
    <t>Total Hours</t>
  </si>
  <si>
    <t>Staff</t>
  </si>
  <si>
    <t>Hours</t>
  </si>
  <si>
    <t>Remaining</t>
  </si>
  <si>
    <t>Exp Efficiency</t>
  </si>
  <si>
    <t>Fill out each week</t>
  </si>
  <si>
    <t>Easy to fill</t>
  </si>
  <si>
    <t>Hours under forecast</t>
  </si>
  <si>
    <t>Hours over forecast</t>
  </si>
  <si>
    <t>Perm Staff</t>
  </si>
  <si>
    <t>Perm Hours</t>
  </si>
  <si>
    <t>Casual Staff</t>
  </si>
  <si>
    <t>Casual Hours</t>
  </si>
  <si>
    <t>Forecasted Hours</t>
  </si>
  <si>
    <t>TOTAL</t>
  </si>
  <si>
    <t>Total Staff</t>
  </si>
  <si>
    <t>Difference in Hours</t>
  </si>
  <si>
    <t>Weekly Totals</t>
  </si>
  <si>
    <t/>
  </si>
  <si>
    <t>Step 1: At the start of new week click "RESET FOR NEW WEEK"</t>
  </si>
  <si>
    <t>Step 2: Fill in the light pink cells with values from WFM</t>
  </si>
  <si>
    <t>Step 3: Click "BIG SPECIAL MAGIC BUTTON" and be patient</t>
  </si>
  <si>
    <t>Zone 3</t>
  </si>
  <si>
    <t>Zone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</si>
</sst>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0"/>
      <color rgb="FF000000"/>
      <name val="Calibri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43EC"/>
        <bgColor indexed="64"/>
      </patternFill>
    </fill>
    <fill>
      <patternFill patternType="solid">
        <fgColor rgb="FF00B1F0"/>
        <bgColor indexed="64"/>
      </patternFill>
    </fill>
    <fill>
      <patternFill patternType="solid">
        <fgColor rgb="FFFFC002"/>
        <bgColor indexed="64"/>
      </patternFill>
    </fill>
    <fill>
      <patternFill patternType="solid">
        <fgColor rgb="FFFF983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8FB"/>
        <bgColor indexed="64"/>
      </patternFill>
    </fill>
    <fill>
      <patternFill patternType="solid">
        <fgColor rgb="FFFFEC9C"/>
        <bgColor indexed="64"/>
      </patternFill>
    </fill>
    <fill>
      <patternFill patternType="solid">
        <fgColor rgb="FFC6EFCF"/>
        <bgColor indexed="64"/>
      </patternFill>
    </fill>
    <fill>
      <patternFill patternType="solid">
        <fgColor rgb="FFFFC7CE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07">
    <xf numFmtId="0" fontId="0" fillId="0" borderId="0" xfId="0"/>
    <xf numFmtId="0" fontId="0" fillId="0" borderId="11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2" xfId="0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0" fillId="0" borderId="11" xfId="0" applyNumberFormat="1" applyBorder="1" applyAlignment="1" applyProtection="1">
      <alignment horizontal="center" vertical="center"/>
    </xf>
    <xf numFmtId="0" fontId="0" fillId="0" borderId="6" xfId="0" applyNumberFormat="1" applyBorder="1" applyAlignment="1" applyProtection="1">
      <alignment horizontal="center" vertical="center"/>
    </xf>
    <xf numFmtId="0" fontId="0" fillId="0" borderId="12" xfId="0" applyNumberFormat="1" applyBorder="1" applyAlignment="1" applyProtection="1">
      <alignment horizontal="center" vertical="center"/>
    </xf>
    <xf numFmtId="0" fontId="0" fillId="0" borderId="18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16" xfId="0" applyNumberFormat="1" applyBorder="1" applyAlignment="1" applyProtection="1">
      <alignment horizontal="center" vertical="center"/>
    </xf>
    <xf numFmtId="0" fontId="0" fillId="0" borderId="17" xfId="0" applyNumberFormat="1" applyBorder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6" fillId="6" borderId="28" xfId="0" applyFont="1" applyFill="1" applyBorder="1" applyAlignment="1" applyProtection="1">
      <alignment horizontal="center" vertical="center"/>
    </xf>
    <xf numFmtId="0" fontId="6" fillId="6" borderId="4" xfId="0" applyFont="1" applyFill="1" applyBorder="1" applyAlignment="1" applyProtection="1">
      <alignment horizontal="center" vertical="center"/>
    </xf>
    <xf numFmtId="0" fontId="6" fillId="6" borderId="26" xfId="0" applyFont="1" applyFill="1" applyBorder="1" applyAlignment="1" applyProtection="1">
      <alignment horizontal="center" vertical="center"/>
    </xf>
    <xf numFmtId="0" fontId="6" fillId="6" borderId="27" xfId="0" applyFont="1" applyFill="1" applyBorder="1" applyAlignment="1" applyProtection="1">
      <alignment horizontal="center" vertical="center"/>
    </xf>
    <xf numFmtId="0" fontId="6" fillId="6" borderId="26" xfId="0" applyNumberFormat="1" applyFont="1" applyFill="1" applyBorder="1" applyAlignment="1" applyProtection="1">
      <alignment horizontal="center" vertical="center"/>
    </xf>
    <xf numFmtId="0" fontId="6" fillId="6" borderId="27" xfId="0" applyNumberFormat="1" applyFont="1" applyFill="1" applyBorder="1" applyAlignment="1" applyProtection="1">
      <alignment horizontal="center" vertical="center"/>
    </xf>
    <xf numFmtId="0" fontId="6" fillId="6" borderId="28" xfId="0" applyNumberFormat="1" applyFont="1" applyFill="1" applyBorder="1" applyAlignment="1" applyProtection="1">
      <alignment horizontal="center" vertical="center"/>
    </xf>
    <xf numFmtId="0" fontId="0" fillId="0" borderId="24" xfId="0" applyFill="1" applyBorder="1" applyAlignment="1" applyProtection="1">
      <alignment horizontal="center" vertical="center"/>
    </xf>
    <xf numFmtId="0" fontId="0" fillId="0" borderId="25" xfId="0" applyFill="1" applyBorder="1" applyAlignment="1" applyProtection="1">
      <alignment horizontal="center" vertical="center"/>
    </xf>
    <xf numFmtId="0" fontId="0" fillId="0" borderId="22" xfId="0" applyNumberFormat="1" applyBorder="1" applyAlignment="1" applyProtection="1">
      <alignment horizontal="center" vertical="center"/>
    </xf>
    <xf numFmtId="0" fontId="0" fillId="0" borderId="23" xfId="0" applyNumberFormat="1" applyBorder="1" applyAlignment="1" applyProtection="1">
      <alignment horizontal="center" vertical="center"/>
    </xf>
    <xf numFmtId="0" fontId="0" fillId="0" borderId="24" xfId="0" applyNumberFormat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protection locked="0"/>
    </xf>
    <xf numFmtId="0" fontId="0" fillId="0" borderId="0" xfId="0" applyProtection="1">
      <protection locked="0"/>
    </xf>
    <xf numFmtId="0" fontId="0" fillId="6" borderId="3" xfId="0" applyFill="1" applyBorder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 applyProtection="1">
      <alignment vertical="center"/>
      <protection locked="0"/>
    </xf>
    <xf numFmtId="0" fontId="0" fillId="6" borderId="8" xfId="0" applyFill="1" applyBorder="1" applyAlignment="1" applyProtection="1">
      <alignment vertical="center"/>
      <protection locked="0"/>
    </xf>
    <xf numFmtId="0" fontId="0" fillId="6" borderId="3" xfId="0" applyFill="1" applyBorder="1" applyAlignmen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7" borderId="14" xfId="0" applyFill="1" applyBorder="1" applyAlignment="1" applyProtection="1">
      <alignment horizontal="center" vertical="center"/>
      <protection locked="0"/>
    </xf>
    <xf numFmtId="0" fontId="0" fillId="7" borderId="11" xfId="0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7" borderId="0" xfId="0" applyFill="1" applyProtection="1"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9" borderId="0" xfId="0" applyFill="1" applyProtection="1"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8" borderId="0" xfId="0" applyFill="1" applyProtection="1"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7" borderId="15" xfId="0" applyFill="1" applyBorder="1" applyAlignment="1" applyProtection="1">
      <alignment horizontal="center" vertical="center"/>
      <protection locked="0"/>
    </xf>
    <xf numFmtId="0" fontId="0" fillId="7" borderId="16" xfId="0" applyFill="1" applyBorder="1" applyAlignment="1" applyProtection="1">
      <alignment horizontal="center" vertical="center"/>
      <protection locked="0"/>
    </xf>
    <xf numFmtId="0" fontId="0" fillId="7" borderId="17" xfId="0" applyFill="1" applyBorder="1" applyAlignment="1" applyProtection="1">
      <alignment horizontal="center" vertical="center"/>
      <protection locked="0"/>
    </xf>
    <xf numFmtId="0" fontId="0" fillId="10" borderId="0" xfId="0" applyFill="1" applyProtection="1"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7" borderId="21" xfId="0" applyFill="1" applyBorder="1" applyAlignment="1" applyProtection="1">
      <alignment horizontal="center"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23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protection locked="0"/>
    </xf>
    <xf numFmtId="0" fontId="0" fillId="0" borderId="0" xfId="0" applyBorder="1" applyProtection="1">
      <protection locked="0"/>
    </xf>
    <xf numFmtId="0" fontId="0" fillId="6" borderId="1" xfId="0" applyFill="1" applyBorder="1" applyAlignment="1" applyProtection="1">
      <alignment horizontal="center" vertical="center"/>
    </xf>
    <xf numFmtId="0" fontId="6" fillId="6" borderId="1" xfId="0" applyFont="1" applyFill="1" applyBorder="1" applyAlignment="1" applyProtection="1">
      <alignment horizontal="center" vertical="center"/>
    </xf>
    <xf numFmtId="10" fontId="0" fillId="0" borderId="1" xfId="1" applyNumberFormat="1" applyFont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 applyProtection="1">
      <alignment horizontal="center" vertical="center"/>
      <protection locked="0"/>
    </xf>
    <xf numFmtId="0" fontId="6" fillId="6" borderId="1" xfId="0" applyFont="1" applyFill="1" applyBorder="1" applyAlignment="1" applyProtection="1">
      <alignment horizontal="center" vertical="center"/>
      <protection locked="0"/>
    </xf>
    <xf numFmtId="0" fontId="6" fillId="6" borderId="2" xfId="0" applyFont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6" borderId="5" xfId="0" applyFill="1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6" borderId="20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 vertical="center"/>
    </xf>
    <xf numFmtId="10" fontId="0" fillId="0" borderId="2" xfId="1" applyNumberFormat="1" applyFont="1" applyBorder="1" applyAlignment="1" applyProtection="1">
      <alignment horizontal="center" vertical="center"/>
    </xf>
    <xf numFmtId="10" fontId="0" fillId="0" borderId="3" xfId="1" applyNumberFormat="1" applyFon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31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30" xfId="0" applyFill="1" applyBorder="1" applyAlignment="1" applyProtection="1">
      <alignment horizontal="center" vertical="center"/>
      <protection locked="0"/>
    </xf>
    <xf numFmtId="0" fontId="0" fillId="4" borderId="31" xfId="0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 cent" xfId="1" builtinId="5"/>
  </cellStyles>
  <dxfs count="14">
    <dxf>
      <font>
        <b val="0"/>
        <i val="0"/>
        <u val="none"/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9832"/>
        </patternFill>
      </fill>
    </dxf>
    <dxf>
      <fill>
        <patternFill>
          <bgColor rgb="FFFFC002"/>
        </patternFill>
      </fill>
    </dxf>
    <dxf>
      <fill>
        <patternFill>
          <bgColor rgb="FFFF43EC"/>
        </patternFill>
      </fill>
    </dxf>
    <dxf>
      <fill>
        <patternFill>
          <bgColor rgb="FF00B1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832"/>
      <color rgb="FFFFC002"/>
      <color rgb="FF00B1F0"/>
      <color rgb="FFFF43EC"/>
      <color rgb="FFFFC7CE"/>
      <color rgb="FFC6EFCF"/>
      <color rgb="FFFFEC9C"/>
      <color rgb="FFFFE8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0</xdr:rowOff>
        </xdr:from>
        <xdr:to>
          <xdr:col>20</xdr:col>
          <xdr:colOff>12700</xdr:colOff>
          <xdr:row>19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2000" b="1" i="0" u="sng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BIG SPECIAL MAGIC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825500</xdr:colOff>
          <xdr:row>20</xdr:row>
          <xdr:rowOff>0</xdr:rowOff>
        </xdr:from>
        <xdr:to>
          <xdr:col>20</xdr:col>
          <xdr:colOff>12700</xdr:colOff>
          <xdr:row>26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2000" b="1" i="0" u="sng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FOR NEW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A6E4-2268-AE46-84CF-5479AF1F6553}">
  <sheetPr codeName="Sheet1"/>
  <dimension ref="A1:AA52"/>
  <sheetViews>
    <sheetView tabSelected="1" zoomScaleNormal="110" workbookViewId="0">
      <selection activeCell="U17" sqref="U17"/>
    </sheetView>
  </sheetViews>
  <sheetFormatPr baseColWidth="10" defaultRowHeight="16" x14ac:dyDescent="0.2"/>
  <cols>
    <col min="1" max="1" width="10.83203125" style="36"/>
    <col min="2" max="2" width="15.33203125" style="36" bestFit="1" customWidth="1"/>
    <col min="3" max="13" width="10.83203125" style="36"/>
    <col min="14" max="14" width="10.83203125" style="36" hidden="1" customWidth="1"/>
    <col min="15" max="15" width="10.83203125" style="36"/>
    <col min="16" max="16" width="12.33203125" style="36" bestFit="1" customWidth="1"/>
    <col min="17" max="19" width="10.83203125" style="36"/>
    <col min="20" max="20" width="0" style="36" hidden="1" customWidth="1"/>
    <col min="21" max="16384" width="10.83203125" style="36"/>
  </cols>
  <sheetData>
    <row r="1" spans="1:27" x14ac:dyDescent="0.2">
      <c r="A1" s="32" t="s">
        <v>0</v>
      </c>
      <c r="B1" s="33" t="s">
        <v>1</v>
      </c>
      <c r="C1" s="32" t="s">
        <v>2</v>
      </c>
      <c r="D1" s="79" t="s">
        <v>3</v>
      </c>
      <c r="E1" s="80"/>
      <c r="F1" s="81"/>
      <c r="G1" s="34"/>
      <c r="H1" s="75" t="s">
        <v>4</v>
      </c>
      <c r="I1" s="75"/>
      <c r="J1" s="75"/>
      <c r="K1" s="75" t="s">
        <v>5</v>
      </c>
      <c r="L1" s="75"/>
      <c r="M1" s="75"/>
      <c r="N1" s="35"/>
      <c r="Y1" s="70"/>
      <c r="Z1" s="70"/>
      <c r="AA1" s="70"/>
    </row>
    <row r="2" spans="1:27" x14ac:dyDescent="0.2">
      <c r="A2" s="82"/>
      <c r="B2" s="83"/>
      <c r="C2" s="32" t="s">
        <v>19</v>
      </c>
      <c r="D2" s="32" t="s">
        <v>6</v>
      </c>
      <c r="E2" s="32" t="s">
        <v>7</v>
      </c>
      <c r="F2" s="32" t="s">
        <v>21</v>
      </c>
      <c r="G2" s="34" t="s">
        <v>22</v>
      </c>
      <c r="H2" s="32" t="s">
        <v>8</v>
      </c>
      <c r="I2" s="32" t="s">
        <v>9</v>
      </c>
      <c r="J2" s="32" t="s">
        <v>6</v>
      </c>
      <c r="K2" s="32" t="s">
        <v>20</v>
      </c>
      <c r="L2" s="32" t="s">
        <v>21</v>
      </c>
      <c r="M2" s="32" t="s">
        <v>22</v>
      </c>
      <c r="N2" s="37" t="s">
        <v>22</v>
      </c>
    </row>
    <row r="3" spans="1:27" hidden="1" x14ac:dyDescent="0.2">
      <c r="A3" s="38"/>
      <c r="B3" s="39"/>
      <c r="C3" s="40"/>
      <c r="D3" s="40">
        <v>7.5</v>
      </c>
      <c r="E3" s="40">
        <v>8</v>
      </c>
      <c r="F3" s="40"/>
      <c r="G3" s="41"/>
      <c r="H3" s="40">
        <v>4</v>
      </c>
      <c r="I3" s="40">
        <v>5</v>
      </c>
      <c r="J3" s="40">
        <v>7.5</v>
      </c>
      <c r="K3" s="76"/>
      <c r="L3" s="76"/>
      <c r="M3" s="76"/>
      <c r="N3" s="42"/>
    </row>
    <row r="4" spans="1:27" x14ac:dyDescent="0.2">
      <c r="A4" s="43" t="s">
        <v>10</v>
      </c>
      <c r="B4" s="44" t="s">
        <v>11</v>
      </c>
      <c r="C4" s="45"/>
      <c r="D4" s="46"/>
      <c r="E4" s="47"/>
      <c r="F4" s="10">
        <f>D4*7.5+E4*8</f>
        <v>0</v>
      </c>
      <c r="G4" s="11">
        <f>C4-F4</f>
        <v>0</v>
      </c>
      <c r="H4" s="1"/>
      <c r="I4" s="2"/>
      <c r="J4" s="3"/>
      <c r="K4" s="12">
        <f>SUM(D4:E4,H4:J4)</f>
        <v>0</v>
      </c>
      <c r="L4" s="13">
        <f>D4*$D$3+E4*$E$3+H4*$H$3 + I4*$I$3+J4*$J$3</f>
        <v>0</v>
      </c>
      <c r="M4" s="14">
        <f>SQRT(N4)</f>
        <v>0</v>
      </c>
      <c r="N4" s="48">
        <f>(C4 - L4)^2</f>
        <v>0</v>
      </c>
      <c r="P4" s="49"/>
      <c r="Q4" s="36" t="s">
        <v>24</v>
      </c>
      <c r="T4" s="36">
        <f>(4*H4)+(5*I4)+(7.5*J4)</f>
        <v>0</v>
      </c>
    </row>
    <row r="5" spans="1:27" x14ac:dyDescent="0.2">
      <c r="A5" s="43" t="s">
        <v>10</v>
      </c>
      <c r="B5" s="50" t="s">
        <v>12</v>
      </c>
      <c r="C5" s="45"/>
      <c r="D5" s="46"/>
      <c r="E5" s="47"/>
      <c r="F5" s="10">
        <f t="shared" ref="F5:F37" si="0">D5*7.5+E5*8</f>
        <v>0</v>
      </c>
      <c r="G5" s="11">
        <f t="shared" ref="G5:G37" si="1">C5-F5</f>
        <v>0</v>
      </c>
      <c r="H5" s="1"/>
      <c r="I5" s="2"/>
      <c r="J5" s="3"/>
      <c r="K5" s="12">
        <f>SUM(D5:E5,H5:J5)</f>
        <v>0</v>
      </c>
      <c r="L5" s="13">
        <f>D5*$D$3+E5*$E$3+H5*$H$3 + I5*$I$3+J5*$J$3</f>
        <v>0</v>
      </c>
      <c r="M5" s="14">
        <f t="shared" ref="M5:M38" si="2">SQRT(N5)</f>
        <v>0</v>
      </c>
      <c r="N5" s="48">
        <f>(C5 - L5)^2</f>
        <v>0</v>
      </c>
      <c r="P5" s="51"/>
      <c r="Q5" s="36" t="s">
        <v>25</v>
      </c>
      <c r="T5" s="36">
        <f>(4*H5)+(5*I5)+(7.5*J5)</f>
        <v>0</v>
      </c>
    </row>
    <row r="6" spans="1:27" x14ac:dyDescent="0.2">
      <c r="A6" s="43" t="s">
        <v>10</v>
      </c>
      <c r="B6" s="52" t="s">
        <v>41</v>
      </c>
      <c r="C6" s="45"/>
      <c r="D6" s="46"/>
      <c r="E6" s="47"/>
      <c r="F6" s="10">
        <f t="shared" si="0"/>
        <v>0</v>
      </c>
      <c r="G6" s="11">
        <f t="shared" si="1"/>
        <v>0</v>
      </c>
      <c r="H6" s="1"/>
      <c r="I6" s="2"/>
      <c r="J6" s="3"/>
      <c r="K6" s="12">
        <f>SUM(D6:E6,H6:J6)</f>
        <v>0</v>
      </c>
      <c r="L6" s="13">
        <f>D6*$D$3+E6*$E$3+H6*$H$3 + I6*$I$3+J6*$J$3</f>
        <v>0</v>
      </c>
      <c r="M6" s="14">
        <f t="shared" si="2"/>
        <v>0</v>
      </c>
      <c r="N6" s="48">
        <f>(C6 - L6)^2</f>
        <v>0</v>
      </c>
      <c r="P6" s="53"/>
      <c r="Q6" s="36" t="s">
        <v>26</v>
      </c>
      <c r="T6" s="36">
        <f t="shared" ref="T6:T38" si="3">(4*H6)+(5*I6)+(7.5*J6)</f>
        <v>0</v>
      </c>
    </row>
    <row r="7" spans="1:27" x14ac:dyDescent="0.2">
      <c r="A7" s="54" t="s">
        <v>10</v>
      </c>
      <c r="B7" s="55" t="s">
        <v>42</v>
      </c>
      <c r="C7" s="56"/>
      <c r="D7" s="57"/>
      <c r="E7" s="58"/>
      <c r="F7" s="15">
        <f t="shared" si="0"/>
        <v>0</v>
      </c>
      <c r="G7" s="16">
        <f t="shared" si="1"/>
        <v>0</v>
      </c>
      <c r="H7" s="4"/>
      <c r="I7" s="5"/>
      <c r="J7" s="6"/>
      <c r="K7" s="17">
        <f>SUM(D7:E7,H7:J7)</f>
        <v>0</v>
      </c>
      <c r="L7" s="18">
        <f>D7*$D$3+E7*$E$3+H7*$H$3 + I7*$I$3+J7*$J$3</f>
        <v>0</v>
      </c>
      <c r="M7" s="19">
        <f t="shared" si="2"/>
        <v>0</v>
      </c>
      <c r="N7" s="48">
        <f>(C7 - L7)^2</f>
        <v>0</v>
      </c>
      <c r="P7" s="59"/>
      <c r="Q7" s="36" t="s">
        <v>27</v>
      </c>
      <c r="T7" s="36">
        <f t="shared" si="3"/>
        <v>0</v>
      </c>
    </row>
    <row r="8" spans="1:27" x14ac:dyDescent="0.2">
      <c r="A8" s="77" t="s">
        <v>10</v>
      </c>
      <c r="B8" s="78"/>
      <c r="C8" s="67">
        <f>SUM(C4:C7)</f>
        <v>0</v>
      </c>
      <c r="D8" s="22">
        <f t="shared" ref="D8:E8" si="4">SUM(D4:D7)</f>
        <v>0</v>
      </c>
      <c r="E8" s="23">
        <f t="shared" si="4"/>
        <v>0</v>
      </c>
      <c r="F8" s="20">
        <f t="shared" ref="F8" si="5">SUM(F4:F7)</f>
        <v>0</v>
      </c>
      <c r="G8" s="21">
        <f t="shared" ref="G8" si="6">SUM(G4:G7)</f>
        <v>0</v>
      </c>
      <c r="H8" s="22">
        <f>SUM(H4:H7)</f>
        <v>0</v>
      </c>
      <c r="I8" s="23">
        <f t="shared" ref="I8:J8" si="7">SUM(I4:I7)</f>
        <v>0</v>
      </c>
      <c r="J8" s="20">
        <f t="shared" si="7"/>
        <v>0</v>
      </c>
      <c r="K8" s="24">
        <f t="shared" ref="K8" si="8">SUM(D8:E8,H8:J8)</f>
        <v>0</v>
      </c>
      <c r="L8" s="25">
        <f t="shared" ref="L8:L38" si="9">D8*$D$3+E8*$E$3+H8*$H$3 + I8*$I$3+J8*$J$3</f>
        <v>0</v>
      </c>
      <c r="M8" s="26">
        <f t="shared" si="2"/>
        <v>0</v>
      </c>
      <c r="N8" s="48">
        <f t="shared" ref="N8:N38" si="10">(C8 - L8)^2</f>
        <v>0</v>
      </c>
      <c r="T8" s="36">
        <f t="shared" si="3"/>
        <v>0</v>
      </c>
    </row>
    <row r="9" spans="1:27" x14ac:dyDescent="0.2">
      <c r="A9" s="60" t="s">
        <v>13</v>
      </c>
      <c r="B9" s="44" t="s">
        <v>11</v>
      </c>
      <c r="C9" s="61"/>
      <c r="D9" s="62"/>
      <c r="E9" s="63"/>
      <c r="F9" s="27">
        <f t="shared" si="0"/>
        <v>0</v>
      </c>
      <c r="G9" s="28">
        <f t="shared" si="1"/>
        <v>0</v>
      </c>
      <c r="H9" s="7"/>
      <c r="I9" s="8"/>
      <c r="J9" s="9"/>
      <c r="K9" s="29">
        <f>SUM(D9:E9,H9:J9)</f>
        <v>0</v>
      </c>
      <c r="L9" s="30">
        <f>D9*$D$3+E9*$E$3+H9*$H$3 + I9*$I$3+J9*$J$3</f>
        <v>0</v>
      </c>
      <c r="M9" s="31">
        <f t="shared" si="2"/>
        <v>0</v>
      </c>
      <c r="N9" s="48">
        <f>(C9 - L9)^2</f>
        <v>0</v>
      </c>
      <c r="T9" s="36">
        <f t="shared" si="3"/>
        <v>0</v>
      </c>
    </row>
    <row r="10" spans="1:27" x14ac:dyDescent="0.2">
      <c r="A10" s="43" t="s">
        <v>13</v>
      </c>
      <c r="B10" s="50" t="s">
        <v>12</v>
      </c>
      <c r="C10" s="45"/>
      <c r="D10" s="46"/>
      <c r="E10" s="47"/>
      <c r="F10" s="10">
        <f t="shared" si="0"/>
        <v>0</v>
      </c>
      <c r="G10" s="11">
        <f t="shared" si="1"/>
        <v>0</v>
      </c>
      <c r="H10" s="1"/>
      <c r="I10" s="2"/>
      <c r="J10" s="3"/>
      <c r="K10" s="12">
        <f>SUM(D10:E10,H10:J10)</f>
        <v>0</v>
      </c>
      <c r="L10" s="13">
        <f>D10*$D$3+E10*$E$3+H10*$H$3 + I10*$I$3+J10*$J$3</f>
        <v>0</v>
      </c>
      <c r="M10" s="14">
        <f t="shared" si="2"/>
        <v>0</v>
      </c>
      <c r="N10" s="48">
        <f>(C10 - L10)^2</f>
        <v>0</v>
      </c>
      <c r="P10" s="36" t="s">
        <v>38</v>
      </c>
      <c r="T10" s="36">
        <f t="shared" si="3"/>
        <v>0</v>
      </c>
    </row>
    <row r="11" spans="1:27" x14ac:dyDescent="0.2">
      <c r="A11" s="43" t="s">
        <v>13</v>
      </c>
      <c r="B11" s="52" t="s">
        <v>41</v>
      </c>
      <c r="C11" s="45"/>
      <c r="D11" s="46"/>
      <c r="E11" s="47"/>
      <c r="F11" s="10">
        <f t="shared" si="0"/>
        <v>0</v>
      </c>
      <c r="G11" s="11">
        <f t="shared" si="1"/>
        <v>0</v>
      </c>
      <c r="H11" s="1"/>
      <c r="I11" s="2"/>
      <c r="J11" s="3"/>
      <c r="K11" s="12">
        <f>SUM(D11:E11,H11:J11)</f>
        <v>0</v>
      </c>
      <c r="L11" s="13">
        <f>D11*$D$3+E11*$E$3+H11*$H$3 + I11*$I$3+J11*$J$3</f>
        <v>0</v>
      </c>
      <c r="M11" s="14">
        <f t="shared" si="2"/>
        <v>0</v>
      </c>
      <c r="N11" s="48">
        <f>(C11 - L11)^2</f>
        <v>0</v>
      </c>
      <c r="P11" s="36" t="s">
        <v>39</v>
      </c>
      <c r="T11" s="36">
        <f t="shared" si="3"/>
        <v>0</v>
      </c>
    </row>
    <row r="12" spans="1:27" x14ac:dyDescent="0.2">
      <c r="A12" s="54" t="s">
        <v>13</v>
      </c>
      <c r="B12" s="69" t="s">
        <v>42</v>
      </c>
      <c r="C12" s="56"/>
      <c r="D12" s="57"/>
      <c r="E12" s="58"/>
      <c r="F12" s="15">
        <f t="shared" si="0"/>
        <v>0</v>
      </c>
      <c r="G12" s="16">
        <f t="shared" si="1"/>
        <v>0</v>
      </c>
      <c r="H12" s="4"/>
      <c r="I12" s="5"/>
      <c r="J12" s="6"/>
      <c r="K12" s="17">
        <f>SUM(D12:E12,H12:J12)</f>
        <v>0</v>
      </c>
      <c r="L12" s="18">
        <f>D12*$D$3+E12*$E$3+H12*$H$3 + I12*$I$3+J12*$J$3</f>
        <v>0</v>
      </c>
      <c r="M12" s="19">
        <f t="shared" si="2"/>
        <v>0</v>
      </c>
      <c r="N12" s="48">
        <f>(C12 - L12)^2</f>
        <v>0</v>
      </c>
      <c r="P12" s="36" t="s">
        <v>40</v>
      </c>
      <c r="T12" s="36">
        <f t="shared" si="3"/>
        <v>0</v>
      </c>
    </row>
    <row r="13" spans="1:27" x14ac:dyDescent="0.2">
      <c r="A13" s="77" t="s">
        <v>13</v>
      </c>
      <c r="B13" s="78"/>
      <c r="C13" s="67">
        <f>SUM(C9:C12)</f>
        <v>0</v>
      </c>
      <c r="D13" s="22">
        <f t="shared" ref="D13:E13" si="11">SUM(D9:D12)</f>
        <v>0</v>
      </c>
      <c r="E13" s="23">
        <f t="shared" si="11"/>
        <v>0</v>
      </c>
      <c r="F13" s="20">
        <f t="shared" ref="F13" si="12">SUM(F9:F12)</f>
        <v>0</v>
      </c>
      <c r="G13" s="21">
        <f t="shared" ref="G13" si="13">SUM(G9:G12)</f>
        <v>0</v>
      </c>
      <c r="H13" s="22">
        <f>SUM(H9:H12)</f>
        <v>0</v>
      </c>
      <c r="I13" s="23">
        <f>SUM(I9:I12)</f>
        <v>0</v>
      </c>
      <c r="J13" s="20">
        <f>SUM(J9:J12)</f>
        <v>0</v>
      </c>
      <c r="K13" s="24">
        <f t="shared" ref="K13:K38" si="14">SUM(D13:E13,H13:J13)</f>
        <v>0</v>
      </c>
      <c r="L13" s="25">
        <f t="shared" si="9"/>
        <v>0</v>
      </c>
      <c r="M13" s="26">
        <f t="shared" si="2"/>
        <v>0</v>
      </c>
      <c r="N13" s="48">
        <f t="shared" si="10"/>
        <v>0</v>
      </c>
      <c r="T13" s="36">
        <f t="shared" si="3"/>
        <v>0</v>
      </c>
    </row>
    <row r="14" spans="1:27" x14ac:dyDescent="0.2">
      <c r="A14" s="60" t="s">
        <v>14</v>
      </c>
      <c r="B14" s="44" t="s">
        <v>11</v>
      </c>
      <c r="C14" s="61"/>
      <c r="D14" s="62"/>
      <c r="E14" s="63"/>
      <c r="F14" s="27">
        <f t="shared" si="0"/>
        <v>0</v>
      </c>
      <c r="G14" s="28">
        <f t="shared" si="1"/>
        <v>0</v>
      </c>
      <c r="H14" s="7"/>
      <c r="I14" s="8"/>
      <c r="J14" s="9"/>
      <c r="K14" s="29">
        <f>SUM(D14:E14,H14:J14)</f>
        <v>0</v>
      </c>
      <c r="L14" s="30">
        <f>D14*$D$3+E14*$E$3+H14*$H$3 + I14*$I$3+J14*$J$3</f>
        <v>0</v>
      </c>
      <c r="M14" s="31">
        <f t="shared" si="2"/>
        <v>0</v>
      </c>
      <c r="N14" s="48">
        <f>(C14 - L14)^2</f>
        <v>0</v>
      </c>
      <c r="T14" s="36">
        <f t="shared" si="3"/>
        <v>0</v>
      </c>
    </row>
    <row r="15" spans="1:27" x14ac:dyDescent="0.2">
      <c r="A15" s="43" t="s">
        <v>14</v>
      </c>
      <c r="B15" s="50" t="s">
        <v>12</v>
      </c>
      <c r="C15" s="45"/>
      <c r="D15" s="46"/>
      <c r="E15" s="47"/>
      <c r="F15" s="10">
        <f t="shared" si="0"/>
        <v>0</v>
      </c>
      <c r="G15" s="11">
        <f t="shared" si="1"/>
        <v>0</v>
      </c>
      <c r="H15" s="1"/>
      <c r="I15" s="2"/>
      <c r="J15" s="3"/>
      <c r="K15" s="12">
        <f>SUM(D15:E15,H15:J15)</f>
        <v>0</v>
      </c>
      <c r="L15" s="13">
        <f>D15*$D$3+E15*$E$3+H15*$H$3 + I15*$I$3+J15*$J$3</f>
        <v>0</v>
      </c>
      <c r="M15" s="14">
        <f t="shared" si="2"/>
        <v>0</v>
      </c>
      <c r="N15" s="48">
        <f>(C15 - L15)^2</f>
        <v>0</v>
      </c>
      <c r="T15" s="36">
        <f t="shared" si="3"/>
        <v>0</v>
      </c>
    </row>
    <row r="16" spans="1:27" x14ac:dyDescent="0.2">
      <c r="A16" s="43" t="s">
        <v>14</v>
      </c>
      <c r="B16" s="52" t="s">
        <v>41</v>
      </c>
      <c r="C16" s="45"/>
      <c r="D16" s="46"/>
      <c r="E16" s="47"/>
      <c r="F16" s="10">
        <f t="shared" si="0"/>
        <v>0</v>
      </c>
      <c r="G16" s="11">
        <f t="shared" si="1"/>
        <v>0</v>
      </c>
      <c r="H16" s="1"/>
      <c r="I16" s="2"/>
      <c r="J16" s="3"/>
      <c r="K16" s="12">
        <f>SUM(D16:E16,H16:J16)</f>
        <v>0</v>
      </c>
      <c r="L16" s="13">
        <f>D16*$D$3+E16*$E$3+H16*$H$3 + I16*$I$3+J16*$J$3</f>
        <v>0</v>
      </c>
      <c r="M16" s="14">
        <f t="shared" si="2"/>
        <v>0</v>
      </c>
      <c r="N16" s="48">
        <f>(C16 - L16)^2</f>
        <v>0</v>
      </c>
      <c r="T16" s="36">
        <f t="shared" si="3"/>
        <v>0</v>
      </c>
    </row>
    <row r="17" spans="1:20" x14ac:dyDescent="0.2">
      <c r="A17" s="54" t="s">
        <v>14</v>
      </c>
      <c r="B17" s="69" t="s">
        <v>42</v>
      </c>
      <c r="C17" s="56"/>
      <c r="D17" s="57"/>
      <c r="E17" s="58"/>
      <c r="F17" s="15">
        <f t="shared" si="0"/>
        <v>0</v>
      </c>
      <c r="G17" s="16">
        <f t="shared" si="1"/>
        <v>0</v>
      </c>
      <c r="H17" s="4"/>
      <c r="I17" s="5"/>
      <c r="J17" s="6"/>
      <c r="K17" s="17">
        <f>SUM(D17:E17,H17:J17)</f>
        <v>0</v>
      </c>
      <c r="L17" s="18">
        <f>D17*$D$3+E17*$E$3+H17*$H$3 + I17*$I$3+J17*$J$3</f>
        <v>0</v>
      </c>
      <c r="M17" s="19">
        <f t="shared" si="2"/>
        <v>0</v>
      </c>
      <c r="N17" s="48">
        <f>(C17 - L17)^2</f>
        <v>0</v>
      </c>
      <c r="T17" s="36">
        <f t="shared" si="3"/>
        <v>0</v>
      </c>
    </row>
    <row r="18" spans="1:20" x14ac:dyDescent="0.2">
      <c r="A18" s="77" t="s">
        <v>14</v>
      </c>
      <c r="B18" s="78"/>
      <c r="C18" s="67">
        <f>SUM(C14:C17)</f>
        <v>0</v>
      </c>
      <c r="D18" s="22">
        <f t="shared" ref="D18:E18" si="15">SUM(D14:D17)</f>
        <v>0</v>
      </c>
      <c r="E18" s="23">
        <f t="shared" si="15"/>
        <v>0</v>
      </c>
      <c r="F18" s="20">
        <f t="shared" ref="F18" si="16">SUM(F14:F17)</f>
        <v>0</v>
      </c>
      <c r="G18" s="21">
        <f t="shared" ref="G18" si="17">SUM(G14:G17)</f>
        <v>0</v>
      </c>
      <c r="H18" s="22">
        <f>SUM(H14:H17)</f>
        <v>0</v>
      </c>
      <c r="I18" s="23">
        <f t="shared" ref="I18:J18" si="18">SUM(I14:I17)</f>
        <v>0</v>
      </c>
      <c r="J18" s="20">
        <f t="shared" si="18"/>
        <v>0</v>
      </c>
      <c r="K18" s="24">
        <f t="shared" si="14"/>
        <v>0</v>
      </c>
      <c r="L18" s="25">
        <f t="shared" si="9"/>
        <v>0</v>
      </c>
      <c r="M18" s="26">
        <f t="shared" si="2"/>
        <v>0</v>
      </c>
      <c r="N18" s="48">
        <f t="shared" si="10"/>
        <v>0</v>
      </c>
      <c r="T18" s="36">
        <f t="shared" si="3"/>
        <v>0</v>
      </c>
    </row>
    <row r="19" spans="1:20" x14ac:dyDescent="0.2">
      <c r="A19" s="60" t="s">
        <v>15</v>
      </c>
      <c r="B19" s="44" t="s">
        <v>11</v>
      </c>
      <c r="C19" s="61"/>
      <c r="D19" s="62"/>
      <c r="E19" s="63"/>
      <c r="F19" s="27">
        <f t="shared" si="0"/>
        <v>0</v>
      </c>
      <c r="G19" s="28">
        <f t="shared" si="1"/>
        <v>0</v>
      </c>
      <c r="H19" s="7"/>
      <c r="I19" s="8"/>
      <c r="J19" s="9"/>
      <c r="K19" s="29">
        <f>SUM(D19:E19,H19:J19)</f>
        <v>0</v>
      </c>
      <c r="L19" s="30">
        <f>D19*$D$3+E19*$E$3+H19*$H$3 + I19*$I$3+J19*$J$3</f>
        <v>0</v>
      </c>
      <c r="M19" s="31">
        <f t="shared" si="2"/>
        <v>0</v>
      </c>
      <c r="N19" s="48">
        <f>(C19 - L19)^2</f>
        <v>0</v>
      </c>
      <c r="T19" s="36">
        <f t="shared" si="3"/>
        <v>0</v>
      </c>
    </row>
    <row r="20" spans="1:20" x14ac:dyDescent="0.2">
      <c r="A20" s="43" t="s">
        <v>15</v>
      </c>
      <c r="B20" s="50" t="s">
        <v>12</v>
      </c>
      <c r="C20" s="45"/>
      <c r="D20" s="46"/>
      <c r="E20" s="47"/>
      <c r="F20" s="10">
        <f t="shared" si="0"/>
        <v>0</v>
      </c>
      <c r="G20" s="11">
        <f t="shared" si="1"/>
        <v>0</v>
      </c>
      <c r="H20" s="1"/>
      <c r="I20" s="2"/>
      <c r="J20" s="3"/>
      <c r="K20" s="12">
        <f>SUM(D20:E20,H20:J20)</f>
        <v>0</v>
      </c>
      <c r="L20" s="13">
        <f>D20*$D$3+E20*$E$3+H20*$H$3 + I20*$I$3+J20*$J$3</f>
        <v>0</v>
      </c>
      <c r="M20" s="14">
        <f t="shared" si="2"/>
        <v>0</v>
      </c>
      <c r="N20" s="48">
        <f>(C20 - L20)^2</f>
        <v>0</v>
      </c>
      <c r="T20" s="36">
        <f t="shared" si="3"/>
        <v>0</v>
      </c>
    </row>
    <row r="21" spans="1:20" x14ac:dyDescent="0.2">
      <c r="A21" s="43" t="s">
        <v>15</v>
      </c>
      <c r="B21" s="52" t="s">
        <v>41</v>
      </c>
      <c r="C21" s="45"/>
      <c r="D21" s="46"/>
      <c r="E21" s="47"/>
      <c r="F21" s="10">
        <f t="shared" si="0"/>
        <v>0</v>
      </c>
      <c r="G21" s="11">
        <f t="shared" si="1"/>
        <v>0</v>
      </c>
      <c r="H21" s="1"/>
      <c r="I21" s="2"/>
      <c r="J21" s="3"/>
      <c r="K21" s="12">
        <f>SUM(D21:E21,H21:J21)</f>
        <v>0</v>
      </c>
      <c r="L21" s="13">
        <f>D21*$D$3+E21*$E$3+H21*$H$3 + I21*$I$3+J21*$J$3</f>
        <v>0</v>
      </c>
      <c r="M21" s="14">
        <f t="shared" si="2"/>
        <v>0</v>
      </c>
      <c r="N21" s="48">
        <f>(C21 - L21)^2</f>
        <v>0</v>
      </c>
      <c r="T21" s="36">
        <f t="shared" si="3"/>
        <v>0</v>
      </c>
    </row>
    <row r="22" spans="1:20" x14ac:dyDescent="0.2">
      <c r="A22" s="43" t="s">
        <v>15</v>
      </c>
      <c r="B22" s="69" t="s">
        <v>42</v>
      </c>
      <c r="C22" s="56"/>
      <c r="D22" s="57"/>
      <c r="E22" s="58"/>
      <c r="F22" s="15">
        <f t="shared" si="0"/>
        <v>0</v>
      </c>
      <c r="G22" s="16">
        <f t="shared" si="1"/>
        <v>0</v>
      </c>
      <c r="H22" s="4"/>
      <c r="I22" s="5"/>
      <c r="J22" s="6"/>
      <c r="K22" s="17">
        <f>SUM(D22:E22,H22:J22)</f>
        <v>0</v>
      </c>
      <c r="L22" s="18">
        <f>D22*$D$3+E22*$E$3+H22*$H$3 + I22*$I$3+J22*$J$3</f>
        <v>0</v>
      </c>
      <c r="M22" s="19">
        <f t="shared" si="2"/>
        <v>0</v>
      </c>
      <c r="N22" s="48">
        <f>(C22 - L22)^2</f>
        <v>0</v>
      </c>
      <c r="T22" s="36">
        <f t="shared" si="3"/>
        <v>0</v>
      </c>
    </row>
    <row r="23" spans="1:20" x14ac:dyDescent="0.2">
      <c r="A23" s="77" t="s">
        <v>15</v>
      </c>
      <c r="B23" s="78"/>
      <c r="C23" s="67">
        <f>SUM(C19:C22)</f>
        <v>0</v>
      </c>
      <c r="D23" s="22">
        <f t="shared" ref="D23:E23" si="19">SUM(D19:D22)</f>
        <v>0</v>
      </c>
      <c r="E23" s="23">
        <f t="shared" si="19"/>
        <v>0</v>
      </c>
      <c r="F23" s="20">
        <f t="shared" ref="F23" si="20">SUM(F19:F22)</f>
        <v>0</v>
      </c>
      <c r="G23" s="21">
        <f t="shared" ref="G23" si="21">SUM(G19:G22)</f>
        <v>0</v>
      </c>
      <c r="H23" s="22">
        <f>SUM(H19:H22)</f>
        <v>0</v>
      </c>
      <c r="I23" s="23">
        <f t="shared" ref="I23:J23" si="22">SUM(I19:I22)</f>
        <v>0</v>
      </c>
      <c r="J23" s="20">
        <f t="shared" si="22"/>
        <v>0</v>
      </c>
      <c r="K23" s="24">
        <f t="shared" si="14"/>
        <v>0</v>
      </c>
      <c r="L23" s="25">
        <f t="shared" si="9"/>
        <v>0</v>
      </c>
      <c r="M23" s="26">
        <f t="shared" si="2"/>
        <v>0</v>
      </c>
      <c r="N23" s="48">
        <f t="shared" si="10"/>
        <v>0</v>
      </c>
      <c r="T23" s="36">
        <f t="shared" si="3"/>
        <v>0</v>
      </c>
    </row>
    <row r="24" spans="1:20" x14ac:dyDescent="0.2">
      <c r="A24" s="43" t="s">
        <v>16</v>
      </c>
      <c r="B24" s="44" t="s">
        <v>11</v>
      </c>
      <c r="C24" s="61"/>
      <c r="D24" s="62"/>
      <c r="E24" s="63"/>
      <c r="F24" s="27">
        <f t="shared" si="0"/>
        <v>0</v>
      </c>
      <c r="G24" s="28">
        <f t="shared" si="1"/>
        <v>0</v>
      </c>
      <c r="H24" s="7"/>
      <c r="I24" s="8"/>
      <c r="J24" s="9"/>
      <c r="K24" s="29">
        <f>SUM(D24:E24,H24:J24)</f>
        <v>0</v>
      </c>
      <c r="L24" s="30">
        <f>D24*$D$3+E24*$E$3+H24*$H$3 + I24*$I$3+J24*$J$3</f>
        <v>0</v>
      </c>
      <c r="M24" s="31">
        <f t="shared" si="2"/>
        <v>0</v>
      </c>
      <c r="N24" s="48">
        <f>(C24 - L24)^2</f>
        <v>0</v>
      </c>
      <c r="T24" s="36">
        <f t="shared" si="3"/>
        <v>0</v>
      </c>
    </row>
    <row r="25" spans="1:20" x14ac:dyDescent="0.2">
      <c r="A25" s="43" t="s">
        <v>16</v>
      </c>
      <c r="B25" s="50" t="s">
        <v>12</v>
      </c>
      <c r="C25" s="45"/>
      <c r="D25" s="46"/>
      <c r="E25" s="47"/>
      <c r="F25" s="10">
        <f t="shared" si="0"/>
        <v>0</v>
      </c>
      <c r="G25" s="11">
        <f t="shared" si="1"/>
        <v>0</v>
      </c>
      <c r="H25" s="1"/>
      <c r="I25" s="2"/>
      <c r="J25" s="3"/>
      <c r="K25" s="12">
        <f>SUM(D25:E25,H25:J25)</f>
        <v>0</v>
      </c>
      <c r="L25" s="13">
        <f>D25*$D$3+E25*$E$3+H25*$H$3 + I25*$I$3+J25*$J$3</f>
        <v>0</v>
      </c>
      <c r="M25" s="14">
        <f t="shared" si="2"/>
        <v>0</v>
      </c>
      <c r="N25" s="48">
        <f>(C25 - L25)^2</f>
        <v>0</v>
      </c>
      <c r="T25" s="36">
        <f t="shared" si="3"/>
        <v>0</v>
      </c>
    </row>
    <row r="26" spans="1:20" x14ac:dyDescent="0.2">
      <c r="A26" s="43" t="s">
        <v>16</v>
      </c>
      <c r="B26" s="52" t="s">
        <v>41</v>
      </c>
      <c r="C26" s="45"/>
      <c r="D26" s="46"/>
      <c r="E26" s="47"/>
      <c r="F26" s="10">
        <f t="shared" si="0"/>
        <v>0</v>
      </c>
      <c r="G26" s="11">
        <f t="shared" si="1"/>
        <v>0</v>
      </c>
      <c r="H26" s="1"/>
      <c r="I26" s="2"/>
      <c r="J26" s="3"/>
      <c r="K26" s="12">
        <f>SUM(D26:E26,H26:J26)</f>
        <v>0</v>
      </c>
      <c r="L26" s="13">
        <f>D26*$D$3+E26*$E$3+H26*$H$3 + I26*$I$3+J26*$J$3</f>
        <v>0</v>
      </c>
      <c r="M26" s="14">
        <f t="shared" si="2"/>
        <v>0</v>
      </c>
      <c r="N26" s="48">
        <f>(C26 - L26)^2</f>
        <v>0</v>
      </c>
      <c r="T26" s="36">
        <f t="shared" si="3"/>
        <v>0</v>
      </c>
    </row>
    <row r="27" spans="1:20" x14ac:dyDescent="0.2">
      <c r="A27" s="43" t="s">
        <v>16</v>
      </c>
      <c r="B27" s="69" t="s">
        <v>42</v>
      </c>
      <c r="C27" s="56"/>
      <c r="D27" s="57"/>
      <c r="E27" s="58"/>
      <c r="F27" s="15">
        <f t="shared" si="0"/>
        <v>0</v>
      </c>
      <c r="G27" s="16">
        <f t="shared" si="1"/>
        <v>0</v>
      </c>
      <c r="H27" s="4"/>
      <c r="I27" s="5"/>
      <c r="J27" s="6"/>
      <c r="K27" s="17">
        <f>SUM(D27:E27,H27:J27)</f>
        <v>0</v>
      </c>
      <c r="L27" s="18">
        <f>D27*$D$3+E27*$E$3+H27*$H$3 + I27*$I$3+J27*$J$3</f>
        <v>0</v>
      </c>
      <c r="M27" s="19">
        <f t="shared" si="2"/>
        <v>0</v>
      </c>
      <c r="N27" s="48">
        <f>(C27 - L27)^2</f>
        <v>0</v>
      </c>
      <c r="T27" s="36">
        <f t="shared" si="3"/>
        <v>0</v>
      </c>
    </row>
    <row r="28" spans="1:20" x14ac:dyDescent="0.2">
      <c r="A28" s="77" t="s">
        <v>16</v>
      </c>
      <c r="B28" s="78"/>
      <c r="C28" s="67">
        <f>SUM(C24:C27)</f>
        <v>0</v>
      </c>
      <c r="D28" s="22">
        <f t="shared" ref="D28:E28" si="23">SUM(D24:D27)</f>
        <v>0</v>
      </c>
      <c r="E28" s="23">
        <f t="shared" si="23"/>
        <v>0</v>
      </c>
      <c r="F28" s="20">
        <f t="shared" ref="F28" si="24">SUM(F24:F27)</f>
        <v>0</v>
      </c>
      <c r="G28" s="21">
        <f t="shared" ref="G28" si="25">SUM(G24:G27)</f>
        <v>0</v>
      </c>
      <c r="H28" s="22">
        <f>SUM(H24:H27)</f>
        <v>0</v>
      </c>
      <c r="I28" s="23">
        <f t="shared" ref="I28:J28" si="26">SUM(I24:I27)</f>
        <v>0</v>
      </c>
      <c r="J28" s="20">
        <f t="shared" si="26"/>
        <v>0</v>
      </c>
      <c r="K28" s="24">
        <f t="shared" si="14"/>
        <v>0</v>
      </c>
      <c r="L28" s="25">
        <f t="shared" si="9"/>
        <v>0</v>
      </c>
      <c r="M28" s="26">
        <f t="shared" si="2"/>
        <v>0</v>
      </c>
      <c r="N28" s="48">
        <f t="shared" si="10"/>
        <v>0</v>
      </c>
      <c r="T28" s="36">
        <f t="shared" si="3"/>
        <v>0</v>
      </c>
    </row>
    <row r="29" spans="1:20" x14ac:dyDescent="0.2">
      <c r="A29" s="43" t="s">
        <v>17</v>
      </c>
      <c r="B29" s="44" t="s">
        <v>11</v>
      </c>
      <c r="C29" s="61"/>
      <c r="D29" s="62"/>
      <c r="E29" s="63"/>
      <c r="F29" s="27">
        <f t="shared" si="0"/>
        <v>0</v>
      </c>
      <c r="G29" s="28">
        <f t="shared" si="1"/>
        <v>0</v>
      </c>
      <c r="H29" s="7"/>
      <c r="I29" s="8"/>
      <c r="J29" s="9"/>
      <c r="K29" s="29">
        <f>SUM(D29:E29,H29:J29)</f>
        <v>0</v>
      </c>
      <c r="L29" s="30">
        <f>D29*$D$3+E29*$E$3+H29*$H$3 + I29*$I$3+J29*$J$3</f>
        <v>0</v>
      </c>
      <c r="M29" s="31">
        <f t="shared" si="2"/>
        <v>0</v>
      </c>
      <c r="N29" s="48">
        <f>(C29 - L29)^2</f>
        <v>0</v>
      </c>
      <c r="T29" s="36">
        <f t="shared" si="3"/>
        <v>0</v>
      </c>
    </row>
    <row r="30" spans="1:20" x14ac:dyDescent="0.2">
      <c r="A30" s="43" t="s">
        <v>17</v>
      </c>
      <c r="B30" s="50" t="s">
        <v>12</v>
      </c>
      <c r="C30" s="45"/>
      <c r="D30" s="46"/>
      <c r="E30" s="47"/>
      <c r="F30" s="10">
        <f t="shared" si="0"/>
        <v>0</v>
      </c>
      <c r="G30" s="11">
        <f t="shared" si="1"/>
        <v>0</v>
      </c>
      <c r="H30" s="1"/>
      <c r="I30" s="2"/>
      <c r="J30" s="3"/>
      <c r="K30" s="12">
        <f>SUM(D30:E30,H30:J30)</f>
        <v>0</v>
      </c>
      <c r="L30" s="13">
        <f>D30*$D$3+E30*$E$3+H30*$H$3 + I30*$I$3+J30*$J$3</f>
        <v>0</v>
      </c>
      <c r="M30" s="14">
        <f t="shared" si="2"/>
        <v>0</v>
      </c>
      <c r="N30" s="48">
        <f>(C30 - L30)^2</f>
        <v>0</v>
      </c>
      <c r="T30" s="36">
        <f t="shared" si="3"/>
        <v>0</v>
      </c>
    </row>
    <row r="31" spans="1:20" x14ac:dyDescent="0.2">
      <c r="A31" s="43" t="s">
        <v>17</v>
      </c>
      <c r="B31" s="52" t="s">
        <v>41</v>
      </c>
      <c r="C31" s="45"/>
      <c r="D31" s="46"/>
      <c r="E31" s="47"/>
      <c r="F31" s="10">
        <f t="shared" si="0"/>
        <v>0</v>
      </c>
      <c r="G31" s="11">
        <f t="shared" si="1"/>
        <v>0</v>
      </c>
      <c r="H31" s="1"/>
      <c r="I31" s="2"/>
      <c r="J31" s="3"/>
      <c r="K31" s="12">
        <f>SUM(D31:E31,H31:J31)</f>
        <v>0</v>
      </c>
      <c r="L31" s="13">
        <f>D31*$D$3+E31*$E$3+H31*$H$3 + I31*$I$3+J31*$J$3</f>
        <v>0</v>
      </c>
      <c r="M31" s="14">
        <f t="shared" si="2"/>
        <v>0</v>
      </c>
      <c r="N31" s="48">
        <f>(C31 - L31)^2</f>
        <v>0</v>
      </c>
      <c r="T31" s="36">
        <f t="shared" si="3"/>
        <v>0</v>
      </c>
    </row>
    <row r="32" spans="1:20" x14ac:dyDescent="0.2">
      <c r="A32" s="43" t="s">
        <v>17</v>
      </c>
      <c r="B32" s="69" t="s">
        <v>42</v>
      </c>
      <c r="C32" s="56"/>
      <c r="D32" s="57"/>
      <c r="E32" s="58"/>
      <c r="F32" s="15">
        <f t="shared" si="0"/>
        <v>0</v>
      </c>
      <c r="G32" s="16">
        <f t="shared" si="1"/>
        <v>0</v>
      </c>
      <c r="H32" s="4"/>
      <c r="I32" s="5"/>
      <c r="J32" s="6"/>
      <c r="K32" s="17">
        <f>SUM(D32:E32,H32:J32)</f>
        <v>0</v>
      </c>
      <c r="L32" s="18">
        <f>D32*$D$3+E32*$E$3+H32*$H$3 + I32*$I$3+J32*$J$3</f>
        <v>0</v>
      </c>
      <c r="M32" s="19">
        <f t="shared" si="2"/>
        <v>0</v>
      </c>
      <c r="N32" s="48">
        <f>(C32 - L32)^2</f>
        <v>0</v>
      </c>
      <c r="T32" s="36">
        <f t="shared" si="3"/>
        <v>0</v>
      </c>
    </row>
    <row r="33" spans="1:23" x14ac:dyDescent="0.2">
      <c r="A33" s="77" t="s">
        <v>17</v>
      </c>
      <c r="B33" s="78"/>
      <c r="C33" s="67">
        <f>SUM(C29:C32)</f>
        <v>0</v>
      </c>
      <c r="D33" s="22">
        <f t="shared" ref="D33:E33" si="27">SUM(D29:D32)</f>
        <v>0</v>
      </c>
      <c r="E33" s="23">
        <f t="shared" si="27"/>
        <v>0</v>
      </c>
      <c r="F33" s="20">
        <f t="shared" ref="F33" si="28">SUM(F29:F32)</f>
        <v>0</v>
      </c>
      <c r="G33" s="21">
        <f t="shared" ref="G33" si="29">SUM(G29:G32)</f>
        <v>0</v>
      </c>
      <c r="H33" s="22">
        <f>SUM(H29:H32)</f>
        <v>0</v>
      </c>
      <c r="I33" s="23">
        <f t="shared" ref="I33:J33" si="30">SUM(I29:I32)</f>
        <v>0</v>
      </c>
      <c r="J33" s="20">
        <f t="shared" si="30"/>
        <v>0</v>
      </c>
      <c r="K33" s="24">
        <f t="shared" si="14"/>
        <v>0</v>
      </c>
      <c r="L33" s="25">
        <f t="shared" si="9"/>
        <v>0</v>
      </c>
      <c r="M33" s="26">
        <f t="shared" si="2"/>
        <v>0</v>
      </c>
      <c r="N33" s="48">
        <f t="shared" si="10"/>
        <v>0</v>
      </c>
      <c r="T33" s="36">
        <f t="shared" si="3"/>
        <v>0</v>
      </c>
    </row>
    <row r="34" spans="1:23" x14ac:dyDescent="0.2">
      <c r="A34" s="43" t="s">
        <v>18</v>
      </c>
      <c r="B34" s="44" t="s">
        <v>11</v>
      </c>
      <c r="C34" s="61"/>
      <c r="D34" s="62"/>
      <c r="E34" s="63"/>
      <c r="F34" s="27">
        <f>D34*7.5+E34*8</f>
        <v>0</v>
      </c>
      <c r="G34" s="28">
        <f t="shared" si="1"/>
        <v>0</v>
      </c>
      <c r="H34" s="7"/>
      <c r="I34" s="8"/>
      <c r="J34" s="9"/>
      <c r="K34" s="29">
        <f>SUM(D34:E34,H34:J34)</f>
        <v>0</v>
      </c>
      <c r="L34" s="30">
        <f>D34*$D$3+E34*$E$3+H34*$H$3 + I34*$I$3+J34*$J$3</f>
        <v>0</v>
      </c>
      <c r="M34" s="31">
        <f t="shared" si="2"/>
        <v>0</v>
      </c>
      <c r="N34" s="48">
        <f>(C34 - L34)^2</f>
        <v>0</v>
      </c>
      <c r="T34" s="36">
        <f t="shared" si="3"/>
        <v>0</v>
      </c>
    </row>
    <row r="35" spans="1:23" x14ac:dyDescent="0.2">
      <c r="A35" s="43" t="s">
        <v>18</v>
      </c>
      <c r="B35" s="50" t="s">
        <v>12</v>
      </c>
      <c r="C35" s="45"/>
      <c r="D35" s="46"/>
      <c r="E35" s="47"/>
      <c r="F35" s="10">
        <f>D35*7.5+E35*8</f>
        <v>0</v>
      </c>
      <c r="G35" s="11">
        <f t="shared" si="1"/>
        <v>0</v>
      </c>
      <c r="H35" s="1"/>
      <c r="I35" s="2"/>
      <c r="J35" s="3"/>
      <c r="K35" s="12">
        <f>SUM(D35:E35,H35:J35)</f>
        <v>0</v>
      </c>
      <c r="L35" s="13">
        <f>D35*$D$3+E35*$E$3+H35*$H$3 + I35*$I$3+J35*$J$3</f>
        <v>0</v>
      </c>
      <c r="M35" s="14">
        <f t="shared" si="2"/>
        <v>0</v>
      </c>
      <c r="N35" s="48">
        <f>(C35 - L35)^2</f>
        <v>0</v>
      </c>
      <c r="T35" s="36">
        <f t="shared" si="3"/>
        <v>0</v>
      </c>
    </row>
    <row r="36" spans="1:23" x14ac:dyDescent="0.2">
      <c r="A36" s="43" t="s">
        <v>18</v>
      </c>
      <c r="B36" s="52" t="s">
        <v>41</v>
      </c>
      <c r="C36" s="45"/>
      <c r="D36" s="46"/>
      <c r="E36" s="47"/>
      <c r="F36" s="10">
        <f t="shared" si="0"/>
        <v>0</v>
      </c>
      <c r="G36" s="11">
        <f t="shared" si="1"/>
        <v>0</v>
      </c>
      <c r="H36" s="1"/>
      <c r="I36" s="2"/>
      <c r="J36" s="3"/>
      <c r="K36" s="12">
        <f>SUM(D36:E36,H36:J36)</f>
        <v>0</v>
      </c>
      <c r="L36" s="13">
        <f>D36*$D$3+E36*$E$3+H36*$H$3 + I36*$I$3+J36*$J$3</f>
        <v>0</v>
      </c>
      <c r="M36" s="14">
        <f t="shared" si="2"/>
        <v>0</v>
      </c>
      <c r="N36" s="48">
        <f>(C36 - L36)^2</f>
        <v>0</v>
      </c>
      <c r="T36" s="36">
        <f t="shared" si="3"/>
        <v>0</v>
      </c>
    </row>
    <row r="37" spans="1:23" x14ac:dyDescent="0.2">
      <c r="A37" s="43" t="s">
        <v>18</v>
      </c>
      <c r="B37" s="69" t="s">
        <v>42</v>
      </c>
      <c r="C37" s="56"/>
      <c r="D37" s="57"/>
      <c r="E37" s="58"/>
      <c r="F37" s="15">
        <f t="shared" si="0"/>
        <v>0</v>
      </c>
      <c r="G37" s="16">
        <f t="shared" si="1"/>
        <v>0</v>
      </c>
      <c r="H37" s="4"/>
      <c r="I37" s="5"/>
      <c r="J37" s="6"/>
      <c r="K37" s="17">
        <f>SUM(D37:E37,H37:J37)</f>
        <v>0</v>
      </c>
      <c r="L37" s="18">
        <f>D37*$D$3+E37*$E$3+H37*$H$3 + I37*$I$3+J37*$J$3</f>
        <v>0</v>
      </c>
      <c r="M37" s="19">
        <f t="shared" si="2"/>
        <v>0</v>
      </c>
      <c r="N37" s="48">
        <f>(C37 - L37)^2</f>
        <v>0</v>
      </c>
      <c r="T37" s="36">
        <f t="shared" si="3"/>
        <v>0</v>
      </c>
    </row>
    <row r="38" spans="1:23" x14ac:dyDescent="0.2">
      <c r="A38" s="77" t="s">
        <v>18</v>
      </c>
      <c r="B38" s="78"/>
      <c r="C38" s="67">
        <f>SUM(C34:C37)</f>
        <v>0</v>
      </c>
      <c r="D38" s="22">
        <f>SUM(D34:D37)</f>
        <v>0</v>
      </c>
      <c r="E38" s="23">
        <f t="shared" ref="E38" si="31">SUM(E34:E37)</f>
        <v>0</v>
      </c>
      <c r="F38" s="20">
        <f t="shared" ref="F38" si="32">SUM(F34:F37)</f>
        <v>0</v>
      </c>
      <c r="G38" s="21">
        <f t="shared" ref="G38" si="33">SUM(G34:G37)</f>
        <v>0</v>
      </c>
      <c r="H38" s="22">
        <f>SUM(H34:H37)</f>
        <v>0</v>
      </c>
      <c r="I38" s="23">
        <f t="shared" ref="I38:J38" si="34">SUM(I34:I37)</f>
        <v>0</v>
      </c>
      <c r="J38" s="20">
        <f t="shared" si="34"/>
        <v>0</v>
      </c>
      <c r="K38" s="24">
        <f t="shared" si="14"/>
        <v>0</v>
      </c>
      <c r="L38" s="25">
        <f t="shared" si="9"/>
        <v>0</v>
      </c>
      <c r="M38" s="26">
        <f t="shared" si="2"/>
        <v>0</v>
      </c>
      <c r="N38" s="48">
        <f t="shared" si="10"/>
        <v>0</v>
      </c>
      <c r="T38" s="36">
        <f t="shared" si="3"/>
        <v>0</v>
      </c>
    </row>
    <row r="40" spans="1:23" x14ac:dyDescent="0.2">
      <c r="B40" s="85" t="s">
        <v>36</v>
      </c>
      <c r="C40" s="86"/>
      <c r="D40" s="89" t="s">
        <v>11</v>
      </c>
      <c r="E40" s="90"/>
      <c r="F40" s="99" t="s">
        <v>12</v>
      </c>
      <c r="G40" s="100"/>
      <c r="H40" s="103" t="s">
        <v>41</v>
      </c>
      <c r="I40" s="104"/>
      <c r="J40" s="71" t="s">
        <v>42</v>
      </c>
      <c r="K40" s="72"/>
      <c r="L40" s="76" t="s">
        <v>33</v>
      </c>
    </row>
    <row r="41" spans="1:23" x14ac:dyDescent="0.2">
      <c r="B41" s="87"/>
      <c r="C41" s="88"/>
      <c r="D41" s="91"/>
      <c r="E41" s="92"/>
      <c r="F41" s="101"/>
      <c r="G41" s="102"/>
      <c r="H41" s="105"/>
      <c r="I41" s="106"/>
      <c r="J41" s="73"/>
      <c r="K41" s="74"/>
      <c r="L41" s="84"/>
    </row>
    <row r="42" spans="1:23" x14ac:dyDescent="0.2">
      <c r="B42" s="79" t="s">
        <v>28</v>
      </c>
      <c r="C42" s="81"/>
      <c r="D42" s="93">
        <f>SUM(D4:E4,D9:E9,D14:E14,D19:E19,D24:E24,D29:E29,D34:E34)</f>
        <v>0</v>
      </c>
      <c r="E42" s="94"/>
      <c r="F42" s="93">
        <f>SUM(D5:E5,D10:E10,D15:E15,D20:E20,D25:E25,D30:E30,D35:E35)</f>
        <v>0</v>
      </c>
      <c r="G42" s="94"/>
      <c r="H42" s="93">
        <f>SUM(D6:E6,D11:E11,D16:E16,D21:E21,D26:E26,D31:E31,D36:E36)</f>
        <v>0</v>
      </c>
      <c r="I42" s="94"/>
      <c r="J42" s="93">
        <f>SUM(D7:E7,D12:E12,D17:E17,D22:E22,D27:E27,D32:E32,D37:E37)</f>
        <v>0</v>
      </c>
      <c r="K42" s="94"/>
      <c r="L42" s="66">
        <f>SUM(D42:K42)</f>
        <v>0</v>
      </c>
    </row>
    <row r="43" spans="1:23" x14ac:dyDescent="0.2">
      <c r="B43" s="79" t="s">
        <v>29</v>
      </c>
      <c r="C43" s="81"/>
      <c r="D43" s="93">
        <f>SUM(F4,F9,F14,F19,F24,F29,F34)</f>
        <v>0</v>
      </c>
      <c r="E43" s="94"/>
      <c r="F43" s="93">
        <f>SUM(F5,F10,F15,F20,F25,F30,F35)</f>
        <v>0</v>
      </c>
      <c r="G43" s="94"/>
      <c r="H43" s="93">
        <f>SUM(F6,F11,F16,F21,F26,F31,F36)</f>
        <v>0</v>
      </c>
      <c r="I43" s="94"/>
      <c r="J43" s="93">
        <f>SUM(F7,F12,F17,F22,F27,F32,F37)</f>
        <v>0</v>
      </c>
      <c r="K43" s="94"/>
      <c r="L43" s="66">
        <f t="shared" ref="L43:L48" si="35">SUM(D43:K43)</f>
        <v>0</v>
      </c>
    </row>
    <row r="44" spans="1:23" x14ac:dyDescent="0.2">
      <c r="B44" s="79" t="s">
        <v>30</v>
      </c>
      <c r="C44" s="81"/>
      <c r="D44" s="93">
        <f>SUM(H4:J4,H9:J9,H14:J14,H19:J19,H24:J24,H29:J29,H34:J34)</f>
        <v>0</v>
      </c>
      <c r="E44" s="94"/>
      <c r="F44" s="93">
        <f>SUM(H5:J5,H10:J10,H15:J15,H20:J20,H25:J25,H30:J30,H35:J35)</f>
        <v>0</v>
      </c>
      <c r="G44" s="94"/>
      <c r="H44" s="93">
        <f>SUM(H6:J6,H11:J11,H16:J16,H21:J21,H26:J26,H31:J31,H36:J36)</f>
        <v>0</v>
      </c>
      <c r="I44" s="94"/>
      <c r="J44" s="93">
        <f>SUM(H7:J7,H12:J12,H17:J17,H22:J22,H27:J27,H32:J32,H37:J37)</f>
        <v>0</v>
      </c>
      <c r="K44" s="94"/>
      <c r="L44" s="66">
        <f t="shared" si="35"/>
        <v>0</v>
      </c>
    </row>
    <row r="45" spans="1:23" x14ac:dyDescent="0.2">
      <c r="B45" s="79" t="s">
        <v>31</v>
      </c>
      <c r="C45" s="81"/>
      <c r="D45" s="93">
        <f>SUM(T4,T9,T14,T19,T24,T29,T34)</f>
        <v>0</v>
      </c>
      <c r="E45" s="94"/>
      <c r="F45" s="93">
        <f>SUM(T5,T10,T15,T20,T25,T30,T35)</f>
        <v>0</v>
      </c>
      <c r="G45" s="94"/>
      <c r="H45" s="93">
        <f>SUM(T6,T11,T16,T21,T26,T31,T36)</f>
        <v>0</v>
      </c>
      <c r="I45" s="94"/>
      <c r="J45" s="93">
        <f>SUM(T7,T12,T17,T22,T27,T32,T37)</f>
        <v>0</v>
      </c>
      <c r="K45" s="94"/>
      <c r="L45" s="66">
        <f t="shared" si="35"/>
        <v>0</v>
      </c>
    </row>
    <row r="46" spans="1:23" x14ac:dyDescent="0.2">
      <c r="B46" s="79" t="s">
        <v>34</v>
      </c>
      <c r="C46" s="81"/>
      <c r="D46" s="93">
        <f>SUM(D42,D44)</f>
        <v>0</v>
      </c>
      <c r="E46" s="94"/>
      <c r="F46" s="93">
        <f t="shared" ref="F46" si="36">SUM(F42,F44)</f>
        <v>0</v>
      </c>
      <c r="G46" s="94"/>
      <c r="H46" s="93">
        <f t="shared" ref="H46" si="37">SUM(H42,H44)</f>
        <v>0</v>
      </c>
      <c r="I46" s="94"/>
      <c r="J46" s="93">
        <f t="shared" ref="J46" si="38">SUM(J42,J44)</f>
        <v>0</v>
      </c>
      <c r="K46" s="94"/>
      <c r="L46" s="66">
        <f t="shared" si="35"/>
        <v>0</v>
      </c>
      <c r="O46" s="36" t="s">
        <v>37</v>
      </c>
      <c r="Q46" s="36" t="s">
        <v>37</v>
      </c>
      <c r="S46" s="36" t="s">
        <v>37</v>
      </c>
      <c r="U46" s="36" t="s">
        <v>37</v>
      </c>
      <c r="W46" s="36" t="s">
        <v>37</v>
      </c>
    </row>
    <row r="47" spans="1:23" x14ac:dyDescent="0.2">
      <c r="B47" s="79" t="s">
        <v>19</v>
      </c>
      <c r="C47" s="81"/>
      <c r="D47" s="93">
        <f>SUM(D43,D45)</f>
        <v>0</v>
      </c>
      <c r="E47" s="94"/>
      <c r="F47" s="93">
        <f>SUM(F43,F45)</f>
        <v>0</v>
      </c>
      <c r="G47" s="94"/>
      <c r="H47" s="93">
        <f t="shared" ref="H47" si="39">SUM(H43,H45)</f>
        <v>0</v>
      </c>
      <c r="I47" s="94"/>
      <c r="J47" s="93">
        <f t="shared" ref="J47" si="40">SUM(J43,J45)</f>
        <v>0</v>
      </c>
      <c r="K47" s="94"/>
      <c r="L47" s="66">
        <f t="shared" si="35"/>
        <v>0</v>
      </c>
    </row>
    <row r="48" spans="1:23" x14ac:dyDescent="0.2">
      <c r="B48" s="79" t="s">
        <v>32</v>
      </c>
      <c r="C48" s="81"/>
      <c r="D48" s="93">
        <f>SUM(C4,C9,C14,C19,C24,C29,C34)</f>
        <v>0</v>
      </c>
      <c r="E48" s="94"/>
      <c r="F48" s="93">
        <f>SUM(C5,C10,C15,C20,C25,C30,C35)</f>
        <v>0</v>
      </c>
      <c r="G48" s="94"/>
      <c r="H48" s="93">
        <f>SUM(C6,C11,C16,C21,C26,C31,C36)</f>
        <v>0</v>
      </c>
      <c r="I48" s="94"/>
      <c r="J48" s="93">
        <f>SUM(C7,C12,C17,C22,C27,C32,C37)</f>
        <v>0</v>
      </c>
      <c r="K48" s="94"/>
      <c r="L48" s="66">
        <f t="shared" si="35"/>
        <v>0</v>
      </c>
    </row>
    <row r="49" spans="2:13" x14ac:dyDescent="0.2">
      <c r="B49" s="79" t="s">
        <v>35</v>
      </c>
      <c r="C49" s="81"/>
      <c r="D49" s="97">
        <f>D48-D47</f>
        <v>0</v>
      </c>
      <c r="E49" s="98"/>
      <c r="F49" s="97">
        <f t="shared" ref="F49" si="41">F48-F47</f>
        <v>0</v>
      </c>
      <c r="G49" s="98"/>
      <c r="H49" s="97">
        <f t="shared" ref="H49" si="42">H48-H47</f>
        <v>0</v>
      </c>
      <c r="I49" s="98"/>
      <c r="J49" s="97">
        <f t="shared" ref="J49" si="43">J48-J47</f>
        <v>0</v>
      </c>
      <c r="K49" s="98"/>
      <c r="L49" s="66">
        <f>L48-L47</f>
        <v>0</v>
      </c>
    </row>
    <row r="50" spans="2:13" x14ac:dyDescent="0.2">
      <c r="B50" s="79" t="s">
        <v>23</v>
      </c>
      <c r="C50" s="81"/>
      <c r="D50" s="95" t="str">
        <f>IF(D48=0,"-",1 + (D48-D47)/D48)</f>
        <v>-</v>
      </c>
      <c r="E50" s="96"/>
      <c r="F50" s="95" t="str">
        <f t="shared" ref="F50" si="44">IF(F48=0,"-",1 + (F48-F47)/F48)</f>
        <v>-</v>
      </c>
      <c r="G50" s="96"/>
      <c r="H50" s="95" t="str">
        <f>IF(H48=0,"-",1 + (H48-H47)/H48)</f>
        <v>-</v>
      </c>
      <c r="I50" s="96"/>
      <c r="J50" s="95" t="str">
        <f t="shared" ref="J50" si="45">IF(J48=0,"-",1 + (J48-J47)/J48)</f>
        <v>-</v>
      </c>
      <c r="K50" s="96"/>
      <c r="L50" s="68" t="str">
        <f>IF(L48=0,"-",1 + (L48-L47)/L48)</f>
        <v>-</v>
      </c>
      <c r="M50" s="64"/>
    </row>
    <row r="51" spans="2:13" x14ac:dyDescent="0.2">
      <c r="C51" s="65"/>
      <c r="D51" s="65"/>
      <c r="E51" s="65"/>
      <c r="F51" s="65"/>
      <c r="G51" s="65"/>
      <c r="H51" s="65"/>
      <c r="I51" s="65"/>
      <c r="J51" s="65"/>
    </row>
    <row r="52" spans="2:13" x14ac:dyDescent="0.2">
      <c r="C52" s="65"/>
      <c r="H52" s="65"/>
    </row>
  </sheetData>
  <sheetProtection sheet="1" objects="1" scenarios="1"/>
  <mergeCells count="63">
    <mergeCell ref="F40:G41"/>
    <mergeCell ref="H40:I41"/>
    <mergeCell ref="B42:C42"/>
    <mergeCell ref="J46:K46"/>
    <mergeCell ref="D47:E47"/>
    <mergeCell ref="F47:G47"/>
    <mergeCell ref="H47:I47"/>
    <mergeCell ref="J47:K47"/>
    <mergeCell ref="B46:C46"/>
    <mergeCell ref="B47:C47"/>
    <mergeCell ref="D46:E46"/>
    <mergeCell ref="F46:G46"/>
    <mergeCell ref="H46:I46"/>
    <mergeCell ref="D42:E42"/>
    <mergeCell ref="F42:G42"/>
    <mergeCell ref="H42:I42"/>
    <mergeCell ref="H48:I48"/>
    <mergeCell ref="J48:K48"/>
    <mergeCell ref="B50:C50"/>
    <mergeCell ref="D50:E50"/>
    <mergeCell ref="F50:G50"/>
    <mergeCell ref="H50:I50"/>
    <mergeCell ref="J50:K50"/>
    <mergeCell ref="B49:C49"/>
    <mergeCell ref="D49:E49"/>
    <mergeCell ref="F49:G49"/>
    <mergeCell ref="H49:I49"/>
    <mergeCell ref="J49:K49"/>
    <mergeCell ref="B48:C48"/>
    <mergeCell ref="D48:E48"/>
    <mergeCell ref="F48:G48"/>
    <mergeCell ref="J42:K42"/>
    <mergeCell ref="B43:C43"/>
    <mergeCell ref="F43:G43"/>
    <mergeCell ref="H43:I43"/>
    <mergeCell ref="J43:K43"/>
    <mergeCell ref="B45:C45"/>
    <mergeCell ref="D45:E45"/>
    <mergeCell ref="F45:G45"/>
    <mergeCell ref="H45:I45"/>
    <mergeCell ref="J45:K45"/>
    <mergeCell ref="F44:G44"/>
    <mergeCell ref="H44:I44"/>
    <mergeCell ref="J44:K44"/>
    <mergeCell ref="D43:E43"/>
    <mergeCell ref="B44:C44"/>
    <mergeCell ref="D44:E44"/>
    <mergeCell ref="J40:K41"/>
    <mergeCell ref="K1:M1"/>
    <mergeCell ref="K3:M3"/>
    <mergeCell ref="A38:B38"/>
    <mergeCell ref="D1:F1"/>
    <mergeCell ref="H1:J1"/>
    <mergeCell ref="A8:B8"/>
    <mergeCell ref="A2:B2"/>
    <mergeCell ref="A13:B13"/>
    <mergeCell ref="A18:B18"/>
    <mergeCell ref="A23:B23"/>
    <mergeCell ref="A28:B28"/>
    <mergeCell ref="A33:B33"/>
    <mergeCell ref="L40:L41"/>
    <mergeCell ref="B40:C41"/>
    <mergeCell ref="D40:E41"/>
  </mergeCells>
  <phoneticPr fontId="1" type="noConversion"/>
  <conditionalFormatting sqref="M4:M38">
    <cfRule type="expression" dxfId="13" priority="1">
      <formula>($C4-$L4)&lt;0</formula>
    </cfRule>
    <cfRule type="expression" dxfId="12" priority="14">
      <formula>($C4-$L4)=0</formula>
    </cfRule>
    <cfRule type="expression" dxfId="11" priority="15">
      <formula>($C4-$L4)&gt;0</formula>
    </cfRule>
  </conditionalFormatting>
  <conditionalFormatting sqref="T4:T38">
    <cfRule type="expression" dxfId="10" priority="10">
      <formula>B4="Stockroom"</formula>
    </cfRule>
    <cfRule type="expression" dxfId="9" priority="11">
      <formula>B4="Cash Wrap"</formula>
    </cfRule>
    <cfRule type="expression" dxfId="8" priority="12">
      <formula>B4="Zone 1"</formula>
    </cfRule>
    <cfRule type="expression" dxfId="7" priority="13">
      <formula>B4="Zone 2"</formula>
    </cfRule>
  </conditionalFormatting>
  <conditionalFormatting sqref="D49:L49">
    <cfRule type="cellIs" dxfId="6" priority="7" operator="greaterThan">
      <formula>0</formula>
    </cfRule>
    <cfRule type="cellIs" dxfId="5" priority="8" operator="equal">
      <formula>0</formula>
    </cfRule>
    <cfRule type="cellIs" dxfId="4" priority="9" operator="lessThan">
      <formula>0</formula>
    </cfRule>
  </conditionalFormatting>
  <conditionalFormatting sqref="D50:L50">
    <cfRule type="cellIs" dxfId="3" priority="4" operator="lessThan">
      <formula>1</formula>
    </cfRule>
    <cfRule type="cellIs" dxfId="2" priority="5" operator="greaterThan">
      <formula>1</formula>
    </cfRule>
    <cfRule type="cellIs" dxfId="1" priority="6" operator="equal">
      <formula>1</formula>
    </cfRule>
  </conditionalFormatting>
  <pageMargins left="0.7" right="0.7" top="0.75" bottom="0.75" header="0.3" footer="0.3"/>
  <ignoredErrors>
    <ignoredError sqref="F4:G7" formula="1"/>
    <ignoredError sqref="D38:G38 D8:E8 D13:E13 D18:E18 D23:E23 D28:E28 D33:E33 F34:G37 E50 D42:K42 D48:E48 H8:J8 G48:K48 D44:K44 D43:E43 G43:K43 D45:E45 G45:K45 K8:L8 K13:L13 K18:L18 K23:L23 K28:L28 K33:L33 K38:L38" formulaRange="1"/>
    <ignoredError sqref="F8:G33" formula="1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sual">
                <anchor moveWithCells="1" sizeWithCells="1">
                  <from>
                    <xdr:col>15</xdr:col>
                    <xdr:colOff>0</xdr:colOff>
                    <xdr:row>13</xdr:row>
                    <xdr:rowOff>0</xdr:rowOff>
                  </from>
                  <to>
                    <xdr:col>20</xdr:col>
                    <xdr:colOff>12700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14</xdr:col>
                    <xdr:colOff>825500</xdr:colOff>
                    <xdr:row>20</xdr:row>
                    <xdr:rowOff>0</xdr:rowOff>
                  </from>
                  <to>
                    <xdr:col>20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9D9EF87-276A-8A4A-9C2A-AD82FAAEB4BF}">
            <xm:f>NOT(ISERROR(SEARCH("-",D50)))</xm:f>
            <xm:f>"-"</xm:f>
            <x14:dxf>
              <font>
                <b val="0"/>
                <i val="0"/>
                <u val="none"/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D50:L50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Seletto</dc:creator>
  <cp:lastModifiedBy>Nicholas Seletto</cp:lastModifiedBy>
  <dcterms:created xsi:type="dcterms:W3CDTF">2021-04-09T05:29:03Z</dcterms:created>
  <dcterms:modified xsi:type="dcterms:W3CDTF">2021-10-11T06:19:27Z</dcterms:modified>
</cp:coreProperties>
</file>